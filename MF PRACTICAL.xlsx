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AD6B592-285B-4781-8BCB-D60F41C2A6D9}" xr6:coauthVersionLast="47" xr6:coauthVersionMax="47" xr10:uidLastSave="{00000000-0000-0000-0000-000000000000}"/>
  <bookViews>
    <workbookView xWindow="-108" yWindow="-108" windowWidth="23256" windowHeight="12456" firstSheet="10" activeTab="20" xr2:uid="{00000000-000D-0000-FFFF-FFFF00000000}"/>
  </bookViews>
  <sheets>
    <sheet name="Practical Q1" sheetId="1" r:id="rId1"/>
    <sheet name="Practical Q2" sheetId="2" r:id="rId2"/>
    <sheet name="Practical 2" sheetId="3" r:id="rId3"/>
    <sheet name="Practical 3 Q1" sheetId="4" r:id="rId4"/>
    <sheet name="P3 Q2" sheetId="5" r:id="rId5"/>
    <sheet name="P3 Q3" sheetId="6" r:id="rId6"/>
    <sheet name="practical 4" sheetId="7" r:id="rId7"/>
    <sheet name="Practical 5" sheetId="8" r:id="rId8"/>
    <sheet name="practical 6 Q1" sheetId="10" r:id="rId9"/>
    <sheet name="P6 Q2" sheetId="11" r:id="rId10"/>
    <sheet name="P6 Q3" sheetId="12" r:id="rId11"/>
    <sheet name="Practical 7" sheetId="9" r:id="rId12"/>
    <sheet name="P8 Q1" sheetId="13" r:id="rId13"/>
    <sheet name="P8 Q2" sheetId="14" r:id="rId14"/>
    <sheet name="P 9" sheetId="16" r:id="rId15"/>
    <sheet name="P 10" sheetId="17" r:id="rId16"/>
    <sheet name="P 11" sheetId="19" r:id="rId17"/>
    <sheet name="P 12 Q1" sheetId="20" r:id="rId18"/>
    <sheet name="P 12 Q2" sheetId="22" r:id="rId19"/>
    <sheet name="P 12 Q3" sheetId="23" r:id="rId20"/>
    <sheet name="Sheet22" sheetId="24" r:id="rId21"/>
  </sheets>
  <externalReferences>
    <externalReference r:id="rId22"/>
    <externalReference r:id="rId23"/>
    <externalReference r:id="rId24"/>
    <externalReference r:id="rId2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4" l="1"/>
  <c r="C11" i="24" s="1"/>
  <c r="E7" i="23"/>
  <c r="C11" i="23" s="1"/>
  <c r="E7" i="22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E5" i="19"/>
  <c r="G8" i="19" s="1"/>
  <c r="E4" i="19"/>
  <c r="E7" i="19" s="1"/>
  <c r="E8" i="22" l="1"/>
  <c r="C11" i="22" s="1"/>
  <c r="G7" i="19"/>
  <c r="E11" i="19" s="1"/>
  <c r="E8" i="19"/>
  <c r="E10" i="19" s="1"/>
  <c r="F265" i="17" l="1"/>
  <c r="B61" i="17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101" i="17" s="1"/>
  <c r="B102" i="17" s="1"/>
  <c r="B103" i="17" s="1"/>
  <c r="B104" i="17" s="1"/>
  <c r="B105" i="17" s="1"/>
  <c r="B106" i="17" s="1"/>
  <c r="B107" i="17" s="1"/>
  <c r="B108" i="17" s="1"/>
  <c r="B109" i="17" s="1"/>
  <c r="B110" i="17" s="1"/>
  <c r="B111" i="17" s="1"/>
  <c r="B112" i="17" s="1"/>
  <c r="B113" i="17" s="1"/>
  <c r="B114" i="17" s="1"/>
  <c r="B115" i="17" s="1"/>
  <c r="B116" i="17" s="1"/>
  <c r="B117" i="17" s="1"/>
  <c r="B118" i="17" s="1"/>
  <c r="B119" i="17" s="1"/>
  <c r="B120" i="17" s="1"/>
  <c r="B121" i="17" s="1"/>
  <c r="B122" i="17" s="1"/>
  <c r="B123" i="17" s="1"/>
  <c r="B124" i="17" s="1"/>
  <c r="B125" i="17" s="1"/>
  <c r="B126" i="17" s="1"/>
  <c r="B127" i="17" s="1"/>
  <c r="B128" i="17" s="1"/>
  <c r="B129" i="17" s="1"/>
  <c r="B130" i="17" s="1"/>
  <c r="B131" i="17" s="1"/>
  <c r="B132" i="17" s="1"/>
  <c r="B133" i="17" s="1"/>
  <c r="B134" i="17" s="1"/>
  <c r="B135" i="17" s="1"/>
  <c r="B136" i="17" s="1"/>
  <c r="B137" i="17" s="1"/>
  <c r="B138" i="17" s="1"/>
  <c r="B139" i="17" s="1"/>
  <c r="B140" i="17" s="1"/>
  <c r="B141" i="17" s="1"/>
  <c r="B142" i="17" s="1"/>
  <c r="B143" i="17" s="1"/>
  <c r="B144" i="17" s="1"/>
  <c r="B145" i="17" s="1"/>
  <c r="B146" i="17" s="1"/>
  <c r="B147" i="17" s="1"/>
  <c r="B148" i="17" s="1"/>
  <c r="B149" i="17" s="1"/>
  <c r="B150" i="17" s="1"/>
  <c r="B151" i="17" s="1"/>
  <c r="B152" i="17" s="1"/>
  <c r="B153" i="17" s="1"/>
  <c r="B154" i="17" s="1"/>
  <c r="B155" i="17" s="1"/>
  <c r="B156" i="17" s="1"/>
  <c r="B157" i="17" s="1"/>
  <c r="B158" i="17" s="1"/>
  <c r="B159" i="17" s="1"/>
  <c r="B160" i="17" s="1"/>
  <c r="B161" i="17" s="1"/>
  <c r="B162" i="17" s="1"/>
  <c r="B163" i="17" s="1"/>
  <c r="B164" i="17" s="1"/>
  <c r="B165" i="17" s="1"/>
  <c r="B166" i="17" s="1"/>
  <c r="B167" i="17" s="1"/>
  <c r="B168" i="17" s="1"/>
  <c r="B169" i="17" s="1"/>
  <c r="B170" i="17" s="1"/>
  <c r="B171" i="17" s="1"/>
  <c r="B172" i="17" s="1"/>
  <c r="B173" i="17" s="1"/>
  <c r="B174" i="17" s="1"/>
  <c r="B175" i="17" s="1"/>
  <c r="B176" i="17" s="1"/>
  <c r="B177" i="17" s="1"/>
  <c r="B178" i="17" s="1"/>
  <c r="B179" i="17" s="1"/>
  <c r="B180" i="17" s="1"/>
  <c r="B181" i="17" s="1"/>
  <c r="B182" i="17" s="1"/>
  <c r="B183" i="17" s="1"/>
  <c r="B184" i="17" s="1"/>
  <c r="B185" i="17" s="1"/>
  <c r="B186" i="17" s="1"/>
  <c r="B187" i="17" s="1"/>
  <c r="B188" i="17" s="1"/>
  <c r="B189" i="17" s="1"/>
  <c r="B190" i="17" s="1"/>
  <c r="B191" i="17" s="1"/>
  <c r="B192" i="17" s="1"/>
  <c r="B193" i="17" s="1"/>
  <c r="B194" i="17" s="1"/>
  <c r="B195" i="17" s="1"/>
  <c r="B196" i="17" s="1"/>
  <c r="B197" i="17" s="1"/>
  <c r="B198" i="17" s="1"/>
  <c r="B199" i="17" s="1"/>
  <c r="B200" i="17" s="1"/>
  <c r="B201" i="17" s="1"/>
  <c r="B202" i="17" s="1"/>
  <c r="B203" i="17" s="1"/>
  <c r="B204" i="17" s="1"/>
  <c r="B205" i="17" s="1"/>
  <c r="B206" i="17" s="1"/>
  <c r="B207" i="17" s="1"/>
  <c r="B208" i="17" s="1"/>
  <c r="B209" i="17" s="1"/>
  <c r="B210" i="17" s="1"/>
  <c r="B211" i="17" s="1"/>
  <c r="B212" i="17" s="1"/>
  <c r="B213" i="17" s="1"/>
  <c r="B214" i="17" s="1"/>
  <c r="B215" i="17" s="1"/>
  <c r="B216" i="17" s="1"/>
  <c r="B217" i="17" s="1"/>
  <c r="B218" i="17" s="1"/>
  <c r="B219" i="17" s="1"/>
  <c r="B220" i="17" s="1"/>
  <c r="B221" i="17" s="1"/>
  <c r="B222" i="17" s="1"/>
  <c r="B223" i="17" s="1"/>
  <c r="B224" i="17" s="1"/>
  <c r="B225" i="17" s="1"/>
  <c r="B226" i="17" s="1"/>
  <c r="B227" i="17" s="1"/>
  <c r="B228" i="17" s="1"/>
  <c r="B229" i="17" s="1"/>
  <c r="B230" i="17" s="1"/>
  <c r="B231" i="17" s="1"/>
  <c r="B232" i="17" s="1"/>
  <c r="B233" i="17" s="1"/>
  <c r="B234" i="17" s="1"/>
  <c r="B235" i="17" s="1"/>
  <c r="B236" i="17" s="1"/>
  <c r="B237" i="17" s="1"/>
  <c r="B238" i="17" s="1"/>
  <c r="B239" i="17" s="1"/>
  <c r="B240" i="17" s="1"/>
  <c r="B241" i="17" s="1"/>
  <c r="B242" i="17" s="1"/>
  <c r="B243" i="17" s="1"/>
  <c r="B244" i="17" s="1"/>
  <c r="B245" i="17" s="1"/>
  <c r="B246" i="17" s="1"/>
  <c r="B247" i="17" s="1"/>
  <c r="B248" i="17" s="1"/>
  <c r="B249" i="17" s="1"/>
  <c r="B250" i="17" s="1"/>
  <c r="B251" i="17" s="1"/>
  <c r="B252" i="17" s="1"/>
  <c r="B253" i="17" s="1"/>
  <c r="B254" i="17" s="1"/>
  <c r="B255" i="17" s="1"/>
  <c r="B256" i="17" s="1"/>
  <c r="B257" i="17" s="1"/>
  <c r="B258" i="17" s="1"/>
  <c r="B259" i="17" s="1"/>
  <c r="B260" i="17" s="1"/>
  <c r="B261" i="17" s="1"/>
  <c r="B262" i="17" s="1"/>
  <c r="B263" i="17" s="1"/>
  <c r="B46" i="17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15" i="17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L14" i="17"/>
  <c r="L15" i="17" s="1"/>
  <c r="L16" i="17" s="1"/>
  <c r="L17" i="17" s="1"/>
  <c r="L18" i="17" s="1"/>
  <c r="L19" i="17" s="1"/>
  <c r="L20" i="17" s="1"/>
  <c r="L21" i="17" s="1"/>
  <c r="L22" i="17" s="1"/>
  <c r="L23" i="17" s="1"/>
  <c r="L24" i="17" s="1"/>
  <c r="L25" i="17" s="1"/>
  <c r="L26" i="17" s="1"/>
  <c r="L27" i="17" s="1"/>
  <c r="L28" i="17" s="1"/>
  <c r="L29" i="17" s="1"/>
  <c r="L30" i="17" s="1"/>
  <c r="L31" i="17" s="1"/>
  <c r="L32" i="17" s="1"/>
  <c r="L33" i="17" s="1"/>
  <c r="L34" i="17" s="1"/>
  <c r="L35" i="17" s="1"/>
  <c r="L36" i="17" s="1"/>
  <c r="L37" i="17" s="1"/>
  <c r="L38" i="17" s="1"/>
  <c r="L39" i="17" s="1"/>
  <c r="L40" i="17" s="1"/>
  <c r="L41" i="17" s="1"/>
  <c r="L42" i="17" s="1"/>
  <c r="L43" i="17" s="1"/>
  <c r="L44" i="17" s="1"/>
  <c r="L45" i="17" s="1"/>
  <c r="L46" i="17" s="1"/>
  <c r="L47" i="17" s="1"/>
  <c r="L48" i="17" s="1"/>
  <c r="L49" i="17" s="1"/>
  <c r="L50" i="17" s="1"/>
  <c r="L51" i="17" s="1"/>
  <c r="L52" i="17" s="1"/>
  <c r="L53" i="17" s="1"/>
  <c r="L54" i="17" s="1"/>
  <c r="L55" i="17" s="1"/>
  <c r="L56" i="17" s="1"/>
  <c r="L57" i="17" s="1"/>
  <c r="L58" i="17" s="1"/>
  <c r="L59" i="17" s="1"/>
  <c r="L60" i="17" s="1"/>
  <c r="L61" i="17" s="1"/>
  <c r="L62" i="17" s="1"/>
  <c r="L63" i="17" s="1"/>
  <c r="L64" i="17" s="1"/>
  <c r="L65" i="17" s="1"/>
  <c r="L66" i="17" s="1"/>
  <c r="L67" i="17" s="1"/>
  <c r="L68" i="17" s="1"/>
  <c r="L69" i="17" s="1"/>
  <c r="L70" i="17" s="1"/>
  <c r="L71" i="17" s="1"/>
  <c r="L72" i="17" s="1"/>
  <c r="L73" i="17" s="1"/>
  <c r="L74" i="17" s="1"/>
  <c r="L75" i="17" s="1"/>
  <c r="L76" i="17" s="1"/>
  <c r="L77" i="17" s="1"/>
  <c r="L78" i="17" s="1"/>
  <c r="L79" i="17" s="1"/>
  <c r="L80" i="17" s="1"/>
  <c r="L81" i="17" s="1"/>
  <c r="L82" i="17" s="1"/>
  <c r="L83" i="17" s="1"/>
  <c r="L84" i="17" s="1"/>
  <c r="L85" i="17" s="1"/>
  <c r="L86" i="17" s="1"/>
  <c r="L87" i="17" s="1"/>
  <c r="L88" i="17" s="1"/>
  <c r="L89" i="17" s="1"/>
  <c r="L90" i="17" s="1"/>
  <c r="L91" i="17" s="1"/>
  <c r="L92" i="17" s="1"/>
  <c r="L93" i="17" s="1"/>
  <c r="L94" i="17" s="1"/>
  <c r="L95" i="17" s="1"/>
  <c r="L96" i="17" s="1"/>
  <c r="L97" i="17" s="1"/>
  <c r="L98" i="17" s="1"/>
  <c r="L99" i="17" s="1"/>
  <c r="L100" i="17" s="1"/>
  <c r="L101" i="17" s="1"/>
  <c r="L102" i="17" s="1"/>
  <c r="L103" i="17" s="1"/>
  <c r="L104" i="17" s="1"/>
  <c r="L105" i="17" s="1"/>
  <c r="L106" i="17" s="1"/>
  <c r="L107" i="17" s="1"/>
  <c r="L108" i="17" s="1"/>
  <c r="L109" i="17" s="1"/>
  <c r="L110" i="17" s="1"/>
  <c r="L111" i="17" s="1"/>
  <c r="L112" i="17" s="1"/>
  <c r="L113" i="17" s="1"/>
  <c r="L114" i="17" s="1"/>
  <c r="L115" i="17" s="1"/>
  <c r="L116" i="17" s="1"/>
  <c r="L117" i="17" s="1"/>
  <c r="L118" i="17" s="1"/>
  <c r="L119" i="17" s="1"/>
  <c r="L120" i="17" s="1"/>
  <c r="L121" i="17" s="1"/>
  <c r="L122" i="17" s="1"/>
  <c r="L123" i="17" s="1"/>
  <c r="L124" i="17" s="1"/>
  <c r="L125" i="17" s="1"/>
  <c r="L126" i="17" s="1"/>
  <c r="L127" i="17" s="1"/>
  <c r="L128" i="17" s="1"/>
  <c r="L129" i="17" s="1"/>
  <c r="L130" i="17" s="1"/>
  <c r="L131" i="17" s="1"/>
  <c r="L132" i="17" s="1"/>
  <c r="L133" i="17" s="1"/>
  <c r="L134" i="17" s="1"/>
  <c r="L135" i="17" s="1"/>
  <c r="L136" i="17" s="1"/>
  <c r="L137" i="17" s="1"/>
  <c r="L138" i="17" s="1"/>
  <c r="L139" i="17" s="1"/>
  <c r="L140" i="17" s="1"/>
  <c r="L141" i="17" s="1"/>
  <c r="L142" i="17" s="1"/>
  <c r="L143" i="17" s="1"/>
  <c r="L144" i="17" s="1"/>
  <c r="L145" i="17" s="1"/>
  <c r="L146" i="17" s="1"/>
  <c r="L147" i="17" s="1"/>
  <c r="L148" i="17" s="1"/>
  <c r="L149" i="17" s="1"/>
  <c r="L150" i="17" s="1"/>
  <c r="L151" i="17" s="1"/>
  <c r="L152" i="17" s="1"/>
  <c r="L153" i="17" s="1"/>
  <c r="L154" i="17" s="1"/>
  <c r="L155" i="17" s="1"/>
  <c r="L156" i="17" s="1"/>
  <c r="L157" i="17" s="1"/>
  <c r="L158" i="17" s="1"/>
  <c r="L159" i="17" s="1"/>
  <c r="L160" i="17" s="1"/>
  <c r="L161" i="17" s="1"/>
  <c r="L162" i="17" s="1"/>
  <c r="L163" i="17" s="1"/>
  <c r="L164" i="17" s="1"/>
  <c r="L165" i="17" s="1"/>
  <c r="L166" i="17" s="1"/>
  <c r="L167" i="17" s="1"/>
  <c r="L168" i="17" s="1"/>
  <c r="L169" i="17" s="1"/>
  <c r="L170" i="17" s="1"/>
  <c r="L171" i="17" s="1"/>
  <c r="L172" i="17" s="1"/>
  <c r="L173" i="17" s="1"/>
  <c r="L174" i="17" s="1"/>
  <c r="L175" i="17" s="1"/>
  <c r="L176" i="17" s="1"/>
  <c r="L177" i="17" s="1"/>
  <c r="L178" i="17" s="1"/>
  <c r="L179" i="17" s="1"/>
  <c r="L180" i="17" s="1"/>
  <c r="L181" i="17" s="1"/>
  <c r="L182" i="17" s="1"/>
  <c r="L183" i="17" s="1"/>
  <c r="L184" i="17" s="1"/>
  <c r="L185" i="17" s="1"/>
  <c r="L186" i="17" s="1"/>
  <c r="L187" i="17" s="1"/>
  <c r="L188" i="17" s="1"/>
  <c r="L189" i="17" s="1"/>
  <c r="L190" i="17" s="1"/>
  <c r="L191" i="17" s="1"/>
  <c r="L192" i="17" s="1"/>
  <c r="L193" i="17" s="1"/>
  <c r="L194" i="17" s="1"/>
  <c r="L195" i="17" s="1"/>
  <c r="L196" i="17" s="1"/>
  <c r="L197" i="17" s="1"/>
  <c r="L198" i="17" s="1"/>
  <c r="L199" i="17" s="1"/>
  <c r="L200" i="17" s="1"/>
  <c r="L201" i="17" s="1"/>
  <c r="L202" i="17" s="1"/>
  <c r="L203" i="17" s="1"/>
  <c r="L204" i="17" s="1"/>
  <c r="L205" i="17" s="1"/>
  <c r="L206" i="17" s="1"/>
  <c r="L207" i="17" s="1"/>
  <c r="L208" i="17" s="1"/>
  <c r="L209" i="17" s="1"/>
  <c r="L210" i="17" s="1"/>
  <c r="L211" i="17" s="1"/>
  <c r="L212" i="17" s="1"/>
  <c r="L213" i="17" s="1"/>
  <c r="L214" i="17" s="1"/>
  <c r="L215" i="17" s="1"/>
  <c r="L216" i="17" s="1"/>
  <c r="L217" i="17" s="1"/>
  <c r="L218" i="17" s="1"/>
  <c r="L219" i="17" s="1"/>
  <c r="L220" i="17" s="1"/>
  <c r="L221" i="17" s="1"/>
  <c r="L222" i="17" s="1"/>
  <c r="L223" i="17" s="1"/>
  <c r="L224" i="17" s="1"/>
  <c r="L225" i="17" s="1"/>
  <c r="L226" i="17" s="1"/>
  <c r="L227" i="17" s="1"/>
  <c r="L228" i="17" s="1"/>
  <c r="L229" i="17" s="1"/>
  <c r="L230" i="17" s="1"/>
  <c r="L231" i="17" s="1"/>
  <c r="L232" i="17" s="1"/>
  <c r="L233" i="17" s="1"/>
  <c r="L234" i="17" s="1"/>
  <c r="L235" i="17" s="1"/>
  <c r="L236" i="17" s="1"/>
  <c r="L237" i="17" s="1"/>
  <c r="L238" i="17" s="1"/>
  <c r="L239" i="17" s="1"/>
  <c r="L240" i="17" s="1"/>
  <c r="L241" i="17" s="1"/>
  <c r="L242" i="17" s="1"/>
  <c r="L243" i="17" s="1"/>
  <c r="L244" i="17" s="1"/>
  <c r="L245" i="17" s="1"/>
  <c r="L246" i="17" s="1"/>
  <c r="L247" i="17" s="1"/>
  <c r="L248" i="17" s="1"/>
  <c r="L249" i="17" s="1"/>
  <c r="L250" i="17" s="1"/>
  <c r="L251" i="17" s="1"/>
  <c r="L252" i="17" s="1"/>
  <c r="L253" i="17" s="1"/>
  <c r="L254" i="17" s="1"/>
  <c r="L255" i="17" s="1"/>
  <c r="L256" i="17" s="1"/>
  <c r="L257" i="17" s="1"/>
  <c r="L258" i="17" s="1"/>
  <c r="L259" i="17" s="1"/>
  <c r="L260" i="17" s="1"/>
  <c r="L261" i="17" s="1"/>
  <c r="L262" i="17" s="1"/>
  <c r="L263" i="17" s="1"/>
  <c r="L265" i="17" s="1"/>
  <c r="K14" i="17"/>
  <c r="K15" i="17" s="1"/>
  <c r="K16" i="17" s="1"/>
  <c r="K17" i="17" s="1"/>
  <c r="K18" i="17" s="1"/>
  <c r="K19" i="17" s="1"/>
  <c r="K20" i="17" s="1"/>
  <c r="K21" i="17" s="1"/>
  <c r="K22" i="17" s="1"/>
  <c r="K23" i="17" s="1"/>
  <c r="K24" i="17" s="1"/>
  <c r="K25" i="17" s="1"/>
  <c r="K26" i="17" s="1"/>
  <c r="K27" i="17" s="1"/>
  <c r="K28" i="17" s="1"/>
  <c r="K29" i="17" s="1"/>
  <c r="K30" i="17" s="1"/>
  <c r="K31" i="17" s="1"/>
  <c r="K32" i="17" s="1"/>
  <c r="K33" i="17" s="1"/>
  <c r="K34" i="17" s="1"/>
  <c r="K35" i="17" s="1"/>
  <c r="K36" i="17" s="1"/>
  <c r="K37" i="17" s="1"/>
  <c r="K38" i="17" s="1"/>
  <c r="K39" i="17" s="1"/>
  <c r="K40" i="17" s="1"/>
  <c r="K41" i="17" s="1"/>
  <c r="K42" i="17" s="1"/>
  <c r="K43" i="17" s="1"/>
  <c r="K44" i="17" s="1"/>
  <c r="K45" i="17" s="1"/>
  <c r="K46" i="17" s="1"/>
  <c r="K47" i="17" s="1"/>
  <c r="K48" i="17" s="1"/>
  <c r="K49" i="17" s="1"/>
  <c r="K50" i="17" s="1"/>
  <c r="K51" i="17" s="1"/>
  <c r="K52" i="17" s="1"/>
  <c r="K53" i="17" s="1"/>
  <c r="K54" i="17" s="1"/>
  <c r="K55" i="17" s="1"/>
  <c r="K56" i="17" s="1"/>
  <c r="K57" i="17" s="1"/>
  <c r="K58" i="17" s="1"/>
  <c r="K59" i="17" s="1"/>
  <c r="K60" i="17" s="1"/>
  <c r="K61" i="17" s="1"/>
  <c r="K62" i="17" s="1"/>
  <c r="K63" i="17" s="1"/>
  <c r="K64" i="17" s="1"/>
  <c r="K65" i="17" s="1"/>
  <c r="K66" i="17" s="1"/>
  <c r="K67" i="17" s="1"/>
  <c r="K68" i="17" s="1"/>
  <c r="K69" i="17" s="1"/>
  <c r="K70" i="17" s="1"/>
  <c r="K71" i="17" s="1"/>
  <c r="K72" i="17" s="1"/>
  <c r="K73" i="17" s="1"/>
  <c r="K74" i="17" s="1"/>
  <c r="K75" i="17" s="1"/>
  <c r="K76" i="17" s="1"/>
  <c r="K77" i="17" s="1"/>
  <c r="K78" i="17" s="1"/>
  <c r="K79" i="17" s="1"/>
  <c r="K80" i="17" s="1"/>
  <c r="K81" i="17" s="1"/>
  <c r="K82" i="17" s="1"/>
  <c r="K83" i="17" s="1"/>
  <c r="K84" i="17" s="1"/>
  <c r="K85" i="17" s="1"/>
  <c r="K86" i="17" s="1"/>
  <c r="K87" i="17" s="1"/>
  <c r="K88" i="17" s="1"/>
  <c r="K89" i="17" s="1"/>
  <c r="K90" i="17" s="1"/>
  <c r="K91" i="17" s="1"/>
  <c r="K92" i="17" s="1"/>
  <c r="K93" i="17" s="1"/>
  <c r="K94" i="17" s="1"/>
  <c r="K95" i="17" s="1"/>
  <c r="K96" i="17" s="1"/>
  <c r="K97" i="17" s="1"/>
  <c r="K98" i="17" s="1"/>
  <c r="K99" i="17" s="1"/>
  <c r="K100" i="17" s="1"/>
  <c r="K101" i="17" s="1"/>
  <c r="K102" i="17" s="1"/>
  <c r="K103" i="17" s="1"/>
  <c r="K104" i="17" s="1"/>
  <c r="K105" i="17" s="1"/>
  <c r="K106" i="17" s="1"/>
  <c r="K107" i="17" s="1"/>
  <c r="K108" i="17" s="1"/>
  <c r="K109" i="17" s="1"/>
  <c r="K110" i="17" s="1"/>
  <c r="K111" i="17" s="1"/>
  <c r="K112" i="17" s="1"/>
  <c r="K113" i="17" s="1"/>
  <c r="K114" i="17" s="1"/>
  <c r="K115" i="17" s="1"/>
  <c r="K116" i="17" s="1"/>
  <c r="K117" i="17" s="1"/>
  <c r="K118" i="17" s="1"/>
  <c r="K119" i="17" s="1"/>
  <c r="K120" i="17" s="1"/>
  <c r="K121" i="17" s="1"/>
  <c r="K122" i="17" s="1"/>
  <c r="K123" i="17" s="1"/>
  <c r="K124" i="17" s="1"/>
  <c r="K125" i="17" s="1"/>
  <c r="K126" i="17" s="1"/>
  <c r="K127" i="17" s="1"/>
  <c r="K128" i="17" s="1"/>
  <c r="K129" i="17" s="1"/>
  <c r="K130" i="17" s="1"/>
  <c r="K131" i="17" s="1"/>
  <c r="K132" i="17" s="1"/>
  <c r="K133" i="17" s="1"/>
  <c r="K134" i="17" s="1"/>
  <c r="K135" i="17" s="1"/>
  <c r="K136" i="17" s="1"/>
  <c r="K137" i="17" s="1"/>
  <c r="K138" i="17" s="1"/>
  <c r="K139" i="17" s="1"/>
  <c r="K140" i="17" s="1"/>
  <c r="K141" i="17" s="1"/>
  <c r="K142" i="17" s="1"/>
  <c r="K143" i="17" s="1"/>
  <c r="K144" i="17" s="1"/>
  <c r="K145" i="17" s="1"/>
  <c r="K146" i="17" s="1"/>
  <c r="K147" i="17" s="1"/>
  <c r="K148" i="17" s="1"/>
  <c r="K149" i="17" s="1"/>
  <c r="K150" i="17" s="1"/>
  <c r="K151" i="17" s="1"/>
  <c r="K152" i="17" s="1"/>
  <c r="K153" i="17" s="1"/>
  <c r="K154" i="17" s="1"/>
  <c r="K155" i="17" s="1"/>
  <c r="K156" i="17" s="1"/>
  <c r="K157" i="17" s="1"/>
  <c r="K158" i="17" s="1"/>
  <c r="K159" i="17" s="1"/>
  <c r="K160" i="17" s="1"/>
  <c r="K161" i="17" s="1"/>
  <c r="K162" i="17" s="1"/>
  <c r="K163" i="17" s="1"/>
  <c r="K164" i="17" s="1"/>
  <c r="K165" i="17" s="1"/>
  <c r="K166" i="17" s="1"/>
  <c r="K167" i="17" s="1"/>
  <c r="K168" i="17" s="1"/>
  <c r="K169" i="17" s="1"/>
  <c r="K170" i="17" s="1"/>
  <c r="K171" i="17" s="1"/>
  <c r="K172" i="17" s="1"/>
  <c r="K173" i="17" s="1"/>
  <c r="K174" i="17" s="1"/>
  <c r="K175" i="17" s="1"/>
  <c r="K176" i="17" s="1"/>
  <c r="K177" i="17" s="1"/>
  <c r="K178" i="17" s="1"/>
  <c r="K179" i="17" s="1"/>
  <c r="K180" i="17" s="1"/>
  <c r="K181" i="17" s="1"/>
  <c r="K182" i="17" s="1"/>
  <c r="K183" i="17" s="1"/>
  <c r="K184" i="17" s="1"/>
  <c r="K185" i="17" s="1"/>
  <c r="K186" i="17" s="1"/>
  <c r="K187" i="17" s="1"/>
  <c r="K188" i="17" s="1"/>
  <c r="K189" i="17" s="1"/>
  <c r="K190" i="17" s="1"/>
  <c r="K191" i="17" s="1"/>
  <c r="K192" i="17" s="1"/>
  <c r="K193" i="17" s="1"/>
  <c r="K194" i="17" s="1"/>
  <c r="K195" i="17" s="1"/>
  <c r="K196" i="17" s="1"/>
  <c r="K197" i="17" s="1"/>
  <c r="K198" i="17" s="1"/>
  <c r="K199" i="17" s="1"/>
  <c r="K200" i="17" s="1"/>
  <c r="K201" i="17" s="1"/>
  <c r="K202" i="17" s="1"/>
  <c r="K203" i="17" s="1"/>
  <c r="K204" i="17" s="1"/>
  <c r="K205" i="17" s="1"/>
  <c r="K206" i="17" s="1"/>
  <c r="K207" i="17" s="1"/>
  <c r="K208" i="17" s="1"/>
  <c r="K209" i="17" s="1"/>
  <c r="K210" i="17" s="1"/>
  <c r="K211" i="17" s="1"/>
  <c r="K212" i="17" s="1"/>
  <c r="K213" i="17" s="1"/>
  <c r="K214" i="17" s="1"/>
  <c r="K215" i="17" s="1"/>
  <c r="K216" i="17" s="1"/>
  <c r="K217" i="17" s="1"/>
  <c r="K218" i="17" s="1"/>
  <c r="K219" i="17" s="1"/>
  <c r="K220" i="17" s="1"/>
  <c r="K221" i="17" s="1"/>
  <c r="K222" i="17" s="1"/>
  <c r="K223" i="17" s="1"/>
  <c r="K224" i="17" s="1"/>
  <c r="K225" i="17" s="1"/>
  <c r="K226" i="17" s="1"/>
  <c r="K227" i="17" s="1"/>
  <c r="K228" i="17" s="1"/>
  <c r="K229" i="17" s="1"/>
  <c r="K230" i="17" s="1"/>
  <c r="K231" i="17" s="1"/>
  <c r="K232" i="17" s="1"/>
  <c r="K233" i="17" s="1"/>
  <c r="K234" i="17" s="1"/>
  <c r="K235" i="17" s="1"/>
  <c r="K236" i="17" s="1"/>
  <c r="K237" i="17" s="1"/>
  <c r="K238" i="17" s="1"/>
  <c r="K239" i="17" s="1"/>
  <c r="K240" i="17" s="1"/>
  <c r="K241" i="17" s="1"/>
  <c r="K242" i="17" s="1"/>
  <c r="K243" i="17" s="1"/>
  <c r="K244" i="17" s="1"/>
  <c r="K245" i="17" s="1"/>
  <c r="K246" i="17" s="1"/>
  <c r="K247" i="17" s="1"/>
  <c r="K248" i="17" s="1"/>
  <c r="K249" i="17" s="1"/>
  <c r="K250" i="17" s="1"/>
  <c r="K251" i="17" s="1"/>
  <c r="K252" i="17" s="1"/>
  <c r="K253" i="17" s="1"/>
  <c r="K254" i="17" s="1"/>
  <c r="K255" i="17" s="1"/>
  <c r="K256" i="17" s="1"/>
  <c r="K257" i="17" s="1"/>
  <c r="K258" i="17" s="1"/>
  <c r="K259" i="17" s="1"/>
  <c r="K260" i="17" s="1"/>
  <c r="K261" i="17" s="1"/>
  <c r="K262" i="17" s="1"/>
  <c r="K263" i="17" s="1"/>
  <c r="K265" i="17" s="1"/>
  <c r="J14" i="17"/>
  <c r="J15" i="17" s="1"/>
  <c r="J16" i="17" s="1"/>
  <c r="J17" i="17" s="1"/>
  <c r="J18" i="17" s="1"/>
  <c r="J19" i="17" s="1"/>
  <c r="J20" i="17" s="1"/>
  <c r="J21" i="17" s="1"/>
  <c r="J22" i="17" s="1"/>
  <c r="J23" i="17" s="1"/>
  <c r="J24" i="17" s="1"/>
  <c r="J25" i="17" s="1"/>
  <c r="J26" i="17" s="1"/>
  <c r="J27" i="17" s="1"/>
  <c r="J28" i="17" s="1"/>
  <c r="J29" i="17" s="1"/>
  <c r="J30" i="17" s="1"/>
  <c r="J31" i="17" s="1"/>
  <c r="J32" i="17" s="1"/>
  <c r="J33" i="17" s="1"/>
  <c r="J34" i="17" s="1"/>
  <c r="J35" i="17" s="1"/>
  <c r="J36" i="17" s="1"/>
  <c r="J37" i="17" s="1"/>
  <c r="J38" i="17" s="1"/>
  <c r="J39" i="17" s="1"/>
  <c r="J40" i="17" s="1"/>
  <c r="J41" i="17" s="1"/>
  <c r="J42" i="17" s="1"/>
  <c r="J43" i="17" s="1"/>
  <c r="J44" i="17" s="1"/>
  <c r="J45" i="17" s="1"/>
  <c r="J46" i="17" s="1"/>
  <c r="J47" i="17" s="1"/>
  <c r="J48" i="17" s="1"/>
  <c r="J49" i="17" s="1"/>
  <c r="J50" i="17" s="1"/>
  <c r="J51" i="17" s="1"/>
  <c r="J52" i="17" s="1"/>
  <c r="J53" i="17" s="1"/>
  <c r="J54" i="17" s="1"/>
  <c r="J55" i="17" s="1"/>
  <c r="J56" i="17" s="1"/>
  <c r="J57" i="17" s="1"/>
  <c r="J58" i="17" s="1"/>
  <c r="J59" i="17" s="1"/>
  <c r="J60" i="17" s="1"/>
  <c r="J61" i="17" s="1"/>
  <c r="J62" i="17" s="1"/>
  <c r="J63" i="17" s="1"/>
  <c r="J64" i="17" s="1"/>
  <c r="J65" i="17" s="1"/>
  <c r="J66" i="17" s="1"/>
  <c r="J67" i="17" s="1"/>
  <c r="J68" i="17" s="1"/>
  <c r="J69" i="17" s="1"/>
  <c r="J70" i="17" s="1"/>
  <c r="J71" i="17" s="1"/>
  <c r="J72" i="17" s="1"/>
  <c r="J73" i="17" s="1"/>
  <c r="J74" i="17" s="1"/>
  <c r="J75" i="17" s="1"/>
  <c r="J76" i="17" s="1"/>
  <c r="J77" i="17" s="1"/>
  <c r="J78" i="17" s="1"/>
  <c r="J79" i="17" s="1"/>
  <c r="J80" i="17" s="1"/>
  <c r="J81" i="17" s="1"/>
  <c r="J82" i="17" s="1"/>
  <c r="J83" i="17" s="1"/>
  <c r="J84" i="17" s="1"/>
  <c r="J85" i="17" s="1"/>
  <c r="J86" i="17" s="1"/>
  <c r="J87" i="17" s="1"/>
  <c r="J88" i="17" s="1"/>
  <c r="J89" i="17" s="1"/>
  <c r="J90" i="17" s="1"/>
  <c r="J91" i="17" s="1"/>
  <c r="J92" i="17" s="1"/>
  <c r="J93" i="17" s="1"/>
  <c r="J94" i="17" s="1"/>
  <c r="J95" i="17" s="1"/>
  <c r="J96" i="17" s="1"/>
  <c r="J97" i="17" s="1"/>
  <c r="J98" i="17" s="1"/>
  <c r="J99" i="17" s="1"/>
  <c r="J100" i="17" s="1"/>
  <c r="J101" i="17" s="1"/>
  <c r="J102" i="17" s="1"/>
  <c r="J103" i="17" s="1"/>
  <c r="J104" i="17" s="1"/>
  <c r="J105" i="17" s="1"/>
  <c r="J106" i="17" s="1"/>
  <c r="J107" i="17" s="1"/>
  <c r="J108" i="17" s="1"/>
  <c r="J109" i="17" s="1"/>
  <c r="J110" i="17" s="1"/>
  <c r="J111" i="17" s="1"/>
  <c r="J112" i="17" s="1"/>
  <c r="J113" i="17" s="1"/>
  <c r="J114" i="17" s="1"/>
  <c r="J115" i="17" s="1"/>
  <c r="J116" i="17" s="1"/>
  <c r="J117" i="17" s="1"/>
  <c r="J118" i="17" s="1"/>
  <c r="J119" i="17" s="1"/>
  <c r="J120" i="17" s="1"/>
  <c r="J121" i="17" s="1"/>
  <c r="J122" i="17" s="1"/>
  <c r="J123" i="17" s="1"/>
  <c r="J124" i="17" s="1"/>
  <c r="J125" i="17" s="1"/>
  <c r="J126" i="17" s="1"/>
  <c r="J127" i="17" s="1"/>
  <c r="J128" i="17" s="1"/>
  <c r="J129" i="17" s="1"/>
  <c r="J130" i="17" s="1"/>
  <c r="J131" i="17" s="1"/>
  <c r="J132" i="17" s="1"/>
  <c r="J133" i="17" s="1"/>
  <c r="J134" i="17" s="1"/>
  <c r="J135" i="17" s="1"/>
  <c r="J136" i="17" s="1"/>
  <c r="J137" i="17" s="1"/>
  <c r="J138" i="17" s="1"/>
  <c r="J139" i="17" s="1"/>
  <c r="J140" i="17" s="1"/>
  <c r="J141" i="17" s="1"/>
  <c r="J142" i="17" s="1"/>
  <c r="J143" i="17" s="1"/>
  <c r="J144" i="17" s="1"/>
  <c r="J145" i="17" s="1"/>
  <c r="J146" i="17" s="1"/>
  <c r="J147" i="17" s="1"/>
  <c r="J148" i="17" s="1"/>
  <c r="J149" i="17" s="1"/>
  <c r="J150" i="17" s="1"/>
  <c r="J151" i="17" s="1"/>
  <c r="J152" i="17" s="1"/>
  <c r="J153" i="17" s="1"/>
  <c r="J154" i="17" s="1"/>
  <c r="J155" i="17" s="1"/>
  <c r="J156" i="17" s="1"/>
  <c r="J157" i="17" s="1"/>
  <c r="J158" i="17" s="1"/>
  <c r="J159" i="17" s="1"/>
  <c r="J160" i="17" s="1"/>
  <c r="J161" i="17" s="1"/>
  <c r="J162" i="17" s="1"/>
  <c r="J163" i="17" s="1"/>
  <c r="J164" i="17" s="1"/>
  <c r="J165" i="17" s="1"/>
  <c r="J166" i="17" s="1"/>
  <c r="J167" i="17" s="1"/>
  <c r="J168" i="17" s="1"/>
  <c r="J169" i="17" s="1"/>
  <c r="J170" i="17" s="1"/>
  <c r="J171" i="17" s="1"/>
  <c r="J172" i="17" s="1"/>
  <c r="J173" i="17" s="1"/>
  <c r="J174" i="17" s="1"/>
  <c r="J175" i="17" s="1"/>
  <c r="J176" i="17" s="1"/>
  <c r="J177" i="17" s="1"/>
  <c r="J178" i="17" s="1"/>
  <c r="J179" i="17" s="1"/>
  <c r="J180" i="17" s="1"/>
  <c r="J181" i="17" s="1"/>
  <c r="J182" i="17" s="1"/>
  <c r="J183" i="17" s="1"/>
  <c r="J184" i="17" s="1"/>
  <c r="J185" i="17" s="1"/>
  <c r="J186" i="17" s="1"/>
  <c r="J187" i="17" s="1"/>
  <c r="J188" i="17" s="1"/>
  <c r="J189" i="17" s="1"/>
  <c r="J190" i="17" s="1"/>
  <c r="J191" i="17" s="1"/>
  <c r="J192" i="17" s="1"/>
  <c r="J193" i="17" s="1"/>
  <c r="J194" i="17" s="1"/>
  <c r="J195" i="17" s="1"/>
  <c r="J196" i="17" s="1"/>
  <c r="J197" i="17" s="1"/>
  <c r="J198" i="17" s="1"/>
  <c r="J199" i="17" s="1"/>
  <c r="J200" i="17" s="1"/>
  <c r="J201" i="17" s="1"/>
  <c r="J202" i="17" s="1"/>
  <c r="J203" i="17" s="1"/>
  <c r="J204" i="17" s="1"/>
  <c r="J205" i="17" s="1"/>
  <c r="J206" i="17" s="1"/>
  <c r="J207" i="17" s="1"/>
  <c r="J208" i="17" s="1"/>
  <c r="J209" i="17" s="1"/>
  <c r="J210" i="17" s="1"/>
  <c r="J211" i="17" s="1"/>
  <c r="J212" i="17" s="1"/>
  <c r="J213" i="17" s="1"/>
  <c r="J214" i="17" s="1"/>
  <c r="J215" i="17" s="1"/>
  <c r="J216" i="17" s="1"/>
  <c r="J217" i="17" s="1"/>
  <c r="J218" i="17" s="1"/>
  <c r="J219" i="17" s="1"/>
  <c r="J220" i="17" s="1"/>
  <c r="J221" i="17" s="1"/>
  <c r="J222" i="17" s="1"/>
  <c r="J223" i="17" s="1"/>
  <c r="J224" i="17" s="1"/>
  <c r="J225" i="17" s="1"/>
  <c r="J226" i="17" s="1"/>
  <c r="J227" i="17" s="1"/>
  <c r="J228" i="17" s="1"/>
  <c r="J229" i="17" s="1"/>
  <c r="J230" i="17" s="1"/>
  <c r="J231" i="17" s="1"/>
  <c r="J232" i="17" s="1"/>
  <c r="J233" i="17" s="1"/>
  <c r="J234" i="17" s="1"/>
  <c r="J235" i="17" s="1"/>
  <c r="J236" i="17" s="1"/>
  <c r="J237" i="17" s="1"/>
  <c r="J238" i="17" s="1"/>
  <c r="J239" i="17" s="1"/>
  <c r="J240" i="17" s="1"/>
  <c r="J241" i="17" s="1"/>
  <c r="J242" i="17" s="1"/>
  <c r="J243" i="17" s="1"/>
  <c r="J244" i="17" s="1"/>
  <c r="J245" i="17" s="1"/>
  <c r="J246" i="17" s="1"/>
  <c r="J247" i="17" s="1"/>
  <c r="J248" i="17" s="1"/>
  <c r="J249" i="17" s="1"/>
  <c r="J250" i="17" s="1"/>
  <c r="J251" i="17" s="1"/>
  <c r="J252" i="17" s="1"/>
  <c r="J253" i="17" s="1"/>
  <c r="J254" i="17" s="1"/>
  <c r="J255" i="17" s="1"/>
  <c r="J256" i="17" s="1"/>
  <c r="J257" i="17" s="1"/>
  <c r="J258" i="17" s="1"/>
  <c r="J259" i="17" s="1"/>
  <c r="J260" i="17" s="1"/>
  <c r="J261" i="17" s="1"/>
  <c r="J262" i="17" s="1"/>
  <c r="J263" i="17" s="1"/>
  <c r="J265" i="17" s="1"/>
  <c r="I14" i="17"/>
  <c r="I15" i="17" s="1"/>
  <c r="I16" i="17" s="1"/>
  <c r="I17" i="17" s="1"/>
  <c r="I18" i="17" s="1"/>
  <c r="I19" i="17" s="1"/>
  <c r="I20" i="17" s="1"/>
  <c r="I21" i="17" s="1"/>
  <c r="I22" i="17" s="1"/>
  <c r="I23" i="17" s="1"/>
  <c r="I24" i="17" s="1"/>
  <c r="I25" i="17" s="1"/>
  <c r="I26" i="17" s="1"/>
  <c r="I27" i="17" s="1"/>
  <c r="I28" i="17" s="1"/>
  <c r="I29" i="17" s="1"/>
  <c r="I30" i="17" s="1"/>
  <c r="I31" i="17" s="1"/>
  <c r="I32" i="17" s="1"/>
  <c r="I33" i="17" s="1"/>
  <c r="I34" i="17" s="1"/>
  <c r="I35" i="17" s="1"/>
  <c r="I36" i="17" s="1"/>
  <c r="I37" i="17" s="1"/>
  <c r="I38" i="17" s="1"/>
  <c r="I39" i="17" s="1"/>
  <c r="I40" i="17" s="1"/>
  <c r="I41" i="17" s="1"/>
  <c r="I42" i="17" s="1"/>
  <c r="I43" i="17" s="1"/>
  <c r="I44" i="17" s="1"/>
  <c r="I45" i="17" s="1"/>
  <c r="I46" i="17" s="1"/>
  <c r="I47" i="17" s="1"/>
  <c r="I48" i="17" s="1"/>
  <c r="I49" i="17" s="1"/>
  <c r="I50" i="17" s="1"/>
  <c r="I51" i="17" s="1"/>
  <c r="I52" i="17" s="1"/>
  <c r="I53" i="17" s="1"/>
  <c r="I54" i="17" s="1"/>
  <c r="I55" i="17" s="1"/>
  <c r="I56" i="17" s="1"/>
  <c r="I57" i="17" s="1"/>
  <c r="I58" i="17" s="1"/>
  <c r="I59" i="17" s="1"/>
  <c r="I60" i="17" s="1"/>
  <c r="I61" i="17" s="1"/>
  <c r="I62" i="17" s="1"/>
  <c r="I63" i="17" s="1"/>
  <c r="I64" i="17" s="1"/>
  <c r="I65" i="17" s="1"/>
  <c r="I66" i="17" s="1"/>
  <c r="I67" i="17" s="1"/>
  <c r="I68" i="17" s="1"/>
  <c r="I69" i="17" s="1"/>
  <c r="I70" i="17" s="1"/>
  <c r="I71" i="17" s="1"/>
  <c r="I72" i="17" s="1"/>
  <c r="I73" i="17" s="1"/>
  <c r="I74" i="17" s="1"/>
  <c r="I75" i="17" s="1"/>
  <c r="I76" i="17" s="1"/>
  <c r="I77" i="17" s="1"/>
  <c r="I78" i="17" s="1"/>
  <c r="I79" i="17" s="1"/>
  <c r="I80" i="17" s="1"/>
  <c r="I81" i="17" s="1"/>
  <c r="I82" i="17" s="1"/>
  <c r="I83" i="17" s="1"/>
  <c r="I84" i="17" s="1"/>
  <c r="I85" i="17" s="1"/>
  <c r="I86" i="17" s="1"/>
  <c r="I87" i="17" s="1"/>
  <c r="I88" i="17" s="1"/>
  <c r="I89" i="17" s="1"/>
  <c r="I90" i="17" s="1"/>
  <c r="I91" i="17" s="1"/>
  <c r="I92" i="17" s="1"/>
  <c r="I93" i="17" s="1"/>
  <c r="I94" i="17" s="1"/>
  <c r="I95" i="17" s="1"/>
  <c r="I96" i="17" s="1"/>
  <c r="I97" i="17" s="1"/>
  <c r="I98" i="17" s="1"/>
  <c r="I99" i="17" s="1"/>
  <c r="I100" i="17" s="1"/>
  <c r="I101" i="17" s="1"/>
  <c r="I102" i="17" s="1"/>
  <c r="I103" i="17" s="1"/>
  <c r="I104" i="17" s="1"/>
  <c r="I105" i="17" s="1"/>
  <c r="I106" i="17" s="1"/>
  <c r="I107" i="17" s="1"/>
  <c r="I108" i="17" s="1"/>
  <c r="I109" i="17" s="1"/>
  <c r="I110" i="17" s="1"/>
  <c r="I111" i="17" s="1"/>
  <c r="I112" i="17" s="1"/>
  <c r="I113" i="17" s="1"/>
  <c r="I114" i="17" s="1"/>
  <c r="I115" i="17" s="1"/>
  <c r="I116" i="17" s="1"/>
  <c r="I117" i="17" s="1"/>
  <c r="I118" i="17" s="1"/>
  <c r="I119" i="17" s="1"/>
  <c r="I120" i="17" s="1"/>
  <c r="I121" i="17" s="1"/>
  <c r="I122" i="17" s="1"/>
  <c r="I123" i="17" s="1"/>
  <c r="I124" i="17" s="1"/>
  <c r="I125" i="17" s="1"/>
  <c r="I126" i="17" s="1"/>
  <c r="I127" i="17" s="1"/>
  <c r="I128" i="17" s="1"/>
  <c r="I129" i="17" s="1"/>
  <c r="I130" i="17" s="1"/>
  <c r="I131" i="17" s="1"/>
  <c r="I132" i="17" s="1"/>
  <c r="I133" i="17" s="1"/>
  <c r="I134" i="17" s="1"/>
  <c r="I135" i="17" s="1"/>
  <c r="I136" i="17" s="1"/>
  <c r="I137" i="17" s="1"/>
  <c r="I138" i="17" s="1"/>
  <c r="I139" i="17" s="1"/>
  <c r="I140" i="17" s="1"/>
  <c r="I141" i="17" s="1"/>
  <c r="I142" i="17" s="1"/>
  <c r="I143" i="17" s="1"/>
  <c r="I144" i="17" s="1"/>
  <c r="I145" i="17" s="1"/>
  <c r="I146" i="17" s="1"/>
  <c r="I147" i="17" s="1"/>
  <c r="I148" i="17" s="1"/>
  <c r="I149" i="17" s="1"/>
  <c r="I150" i="17" s="1"/>
  <c r="I151" i="17" s="1"/>
  <c r="I152" i="17" s="1"/>
  <c r="I153" i="17" s="1"/>
  <c r="I154" i="17" s="1"/>
  <c r="I155" i="17" s="1"/>
  <c r="I156" i="17" s="1"/>
  <c r="I157" i="17" s="1"/>
  <c r="I158" i="17" s="1"/>
  <c r="I159" i="17" s="1"/>
  <c r="I160" i="17" s="1"/>
  <c r="I161" i="17" s="1"/>
  <c r="I162" i="17" s="1"/>
  <c r="I163" i="17" s="1"/>
  <c r="I164" i="17" s="1"/>
  <c r="I165" i="17" s="1"/>
  <c r="I166" i="17" s="1"/>
  <c r="I167" i="17" s="1"/>
  <c r="I168" i="17" s="1"/>
  <c r="I169" i="17" s="1"/>
  <c r="I170" i="17" s="1"/>
  <c r="I171" i="17" s="1"/>
  <c r="I172" i="17" s="1"/>
  <c r="I173" i="17" s="1"/>
  <c r="I174" i="17" s="1"/>
  <c r="I175" i="17" s="1"/>
  <c r="I176" i="17" s="1"/>
  <c r="I177" i="17" s="1"/>
  <c r="I178" i="17" s="1"/>
  <c r="I179" i="17" s="1"/>
  <c r="I180" i="17" s="1"/>
  <c r="I181" i="17" s="1"/>
  <c r="I182" i="17" s="1"/>
  <c r="I183" i="17" s="1"/>
  <c r="I184" i="17" s="1"/>
  <c r="I185" i="17" s="1"/>
  <c r="I186" i="17" s="1"/>
  <c r="I187" i="17" s="1"/>
  <c r="I188" i="17" s="1"/>
  <c r="I189" i="17" s="1"/>
  <c r="I190" i="17" s="1"/>
  <c r="I191" i="17" s="1"/>
  <c r="I192" i="17" s="1"/>
  <c r="I193" i="17" s="1"/>
  <c r="I194" i="17" s="1"/>
  <c r="I195" i="17" s="1"/>
  <c r="I196" i="17" s="1"/>
  <c r="I197" i="17" s="1"/>
  <c r="I198" i="17" s="1"/>
  <c r="I199" i="17" s="1"/>
  <c r="I200" i="17" s="1"/>
  <c r="I201" i="17" s="1"/>
  <c r="I202" i="17" s="1"/>
  <c r="I203" i="17" s="1"/>
  <c r="I204" i="17" s="1"/>
  <c r="I205" i="17" s="1"/>
  <c r="I206" i="17" s="1"/>
  <c r="I207" i="17" s="1"/>
  <c r="I208" i="17" s="1"/>
  <c r="I209" i="17" s="1"/>
  <c r="I210" i="17" s="1"/>
  <c r="I211" i="17" s="1"/>
  <c r="I212" i="17" s="1"/>
  <c r="I213" i="17" s="1"/>
  <c r="I214" i="17" s="1"/>
  <c r="I215" i="17" s="1"/>
  <c r="I216" i="17" s="1"/>
  <c r="I217" i="17" s="1"/>
  <c r="I218" i="17" s="1"/>
  <c r="I219" i="17" s="1"/>
  <c r="I220" i="17" s="1"/>
  <c r="I221" i="17" s="1"/>
  <c r="I222" i="17" s="1"/>
  <c r="I223" i="17" s="1"/>
  <c r="I224" i="17" s="1"/>
  <c r="I225" i="17" s="1"/>
  <c r="I226" i="17" s="1"/>
  <c r="I227" i="17" s="1"/>
  <c r="I228" i="17" s="1"/>
  <c r="I229" i="17" s="1"/>
  <c r="I230" i="17" s="1"/>
  <c r="I231" i="17" s="1"/>
  <c r="I232" i="17" s="1"/>
  <c r="I233" i="17" s="1"/>
  <c r="I234" i="17" s="1"/>
  <c r="I235" i="17" s="1"/>
  <c r="I236" i="17" s="1"/>
  <c r="I237" i="17" s="1"/>
  <c r="I238" i="17" s="1"/>
  <c r="I239" i="17" s="1"/>
  <c r="I240" i="17" s="1"/>
  <c r="I241" i="17" s="1"/>
  <c r="I242" i="17" s="1"/>
  <c r="I243" i="17" s="1"/>
  <c r="I244" i="17" s="1"/>
  <c r="I245" i="17" s="1"/>
  <c r="I246" i="17" s="1"/>
  <c r="I247" i="17" s="1"/>
  <c r="I248" i="17" s="1"/>
  <c r="I249" i="17" s="1"/>
  <c r="I250" i="17" s="1"/>
  <c r="I251" i="17" s="1"/>
  <c r="I252" i="17" s="1"/>
  <c r="I253" i="17" s="1"/>
  <c r="I254" i="17" s="1"/>
  <c r="I255" i="17" s="1"/>
  <c r="I256" i="17" s="1"/>
  <c r="I257" i="17" s="1"/>
  <c r="I258" i="17" s="1"/>
  <c r="I259" i="17" s="1"/>
  <c r="I260" i="17" s="1"/>
  <c r="I261" i="17" s="1"/>
  <c r="I262" i="17" s="1"/>
  <c r="I263" i="17" s="1"/>
  <c r="I265" i="17" s="1"/>
  <c r="H14" i="17"/>
  <c r="H15" i="17" s="1"/>
  <c r="H16" i="17" s="1"/>
  <c r="H17" i="17" s="1"/>
  <c r="H18" i="17" s="1"/>
  <c r="H19" i="17" s="1"/>
  <c r="H20" i="17" s="1"/>
  <c r="H21" i="17" s="1"/>
  <c r="H22" i="17" s="1"/>
  <c r="H23" i="17" s="1"/>
  <c r="H24" i="17" s="1"/>
  <c r="H25" i="17" s="1"/>
  <c r="H26" i="17" s="1"/>
  <c r="H27" i="17" s="1"/>
  <c r="H28" i="17" s="1"/>
  <c r="H29" i="17" s="1"/>
  <c r="H30" i="17" s="1"/>
  <c r="H31" i="17" s="1"/>
  <c r="H32" i="17" s="1"/>
  <c r="H33" i="17" s="1"/>
  <c r="H34" i="17" s="1"/>
  <c r="H35" i="17" s="1"/>
  <c r="H36" i="17" s="1"/>
  <c r="H37" i="17" s="1"/>
  <c r="H38" i="17" s="1"/>
  <c r="H39" i="17" s="1"/>
  <c r="H40" i="17" s="1"/>
  <c r="H41" i="17" s="1"/>
  <c r="H42" i="17" s="1"/>
  <c r="H43" i="17" s="1"/>
  <c r="H44" i="17" s="1"/>
  <c r="H45" i="17" s="1"/>
  <c r="H46" i="17" s="1"/>
  <c r="H47" i="17" s="1"/>
  <c r="H48" i="17" s="1"/>
  <c r="H49" i="17" s="1"/>
  <c r="H50" i="17" s="1"/>
  <c r="H51" i="17" s="1"/>
  <c r="H52" i="17" s="1"/>
  <c r="H53" i="17" s="1"/>
  <c r="H54" i="17" s="1"/>
  <c r="H55" i="17" s="1"/>
  <c r="H56" i="17" s="1"/>
  <c r="H57" i="17" s="1"/>
  <c r="H58" i="17" s="1"/>
  <c r="H59" i="17" s="1"/>
  <c r="H60" i="17" s="1"/>
  <c r="H61" i="17" s="1"/>
  <c r="H62" i="17" s="1"/>
  <c r="H63" i="17" s="1"/>
  <c r="H64" i="17" s="1"/>
  <c r="H65" i="17" s="1"/>
  <c r="H66" i="17" s="1"/>
  <c r="H67" i="17" s="1"/>
  <c r="H68" i="17" s="1"/>
  <c r="H69" i="17" s="1"/>
  <c r="H70" i="17" s="1"/>
  <c r="H71" i="17" s="1"/>
  <c r="H72" i="17" s="1"/>
  <c r="H73" i="17" s="1"/>
  <c r="H74" i="17" s="1"/>
  <c r="H75" i="17" s="1"/>
  <c r="H76" i="17" s="1"/>
  <c r="H77" i="17" s="1"/>
  <c r="H78" i="17" s="1"/>
  <c r="H79" i="17" s="1"/>
  <c r="H80" i="17" s="1"/>
  <c r="H81" i="17" s="1"/>
  <c r="H82" i="17" s="1"/>
  <c r="H83" i="17" s="1"/>
  <c r="H84" i="17" s="1"/>
  <c r="H85" i="17" s="1"/>
  <c r="H86" i="17" s="1"/>
  <c r="H87" i="17" s="1"/>
  <c r="H88" i="17" s="1"/>
  <c r="H89" i="17" s="1"/>
  <c r="H90" i="17" s="1"/>
  <c r="H91" i="17" s="1"/>
  <c r="H92" i="17" s="1"/>
  <c r="H93" i="17" s="1"/>
  <c r="H94" i="17" s="1"/>
  <c r="H95" i="17" s="1"/>
  <c r="H96" i="17" s="1"/>
  <c r="H97" i="17" s="1"/>
  <c r="H98" i="17" s="1"/>
  <c r="H99" i="17" s="1"/>
  <c r="H100" i="17" s="1"/>
  <c r="H101" i="17" s="1"/>
  <c r="H102" i="17" s="1"/>
  <c r="H103" i="17" s="1"/>
  <c r="H104" i="17" s="1"/>
  <c r="H105" i="17" s="1"/>
  <c r="H106" i="17" s="1"/>
  <c r="H107" i="17" s="1"/>
  <c r="H108" i="17" s="1"/>
  <c r="H109" i="17" s="1"/>
  <c r="H110" i="17" s="1"/>
  <c r="H111" i="17" s="1"/>
  <c r="H112" i="17" s="1"/>
  <c r="H113" i="17" s="1"/>
  <c r="H114" i="17" s="1"/>
  <c r="H115" i="17" s="1"/>
  <c r="H116" i="17" s="1"/>
  <c r="H117" i="17" s="1"/>
  <c r="H118" i="17" s="1"/>
  <c r="H119" i="17" s="1"/>
  <c r="H120" i="17" s="1"/>
  <c r="H121" i="17" s="1"/>
  <c r="H122" i="17" s="1"/>
  <c r="H123" i="17" s="1"/>
  <c r="H124" i="17" s="1"/>
  <c r="H125" i="17" s="1"/>
  <c r="H126" i="17" s="1"/>
  <c r="H127" i="17" s="1"/>
  <c r="H128" i="17" s="1"/>
  <c r="H129" i="17" s="1"/>
  <c r="H130" i="17" s="1"/>
  <c r="H131" i="17" s="1"/>
  <c r="H132" i="17" s="1"/>
  <c r="H133" i="17" s="1"/>
  <c r="H134" i="17" s="1"/>
  <c r="H135" i="17" s="1"/>
  <c r="H136" i="17" s="1"/>
  <c r="H137" i="17" s="1"/>
  <c r="H138" i="17" s="1"/>
  <c r="H139" i="17" s="1"/>
  <c r="H140" i="17" s="1"/>
  <c r="H141" i="17" s="1"/>
  <c r="H142" i="17" s="1"/>
  <c r="H143" i="17" s="1"/>
  <c r="H144" i="17" s="1"/>
  <c r="H145" i="17" s="1"/>
  <c r="H146" i="17" s="1"/>
  <c r="H147" i="17" s="1"/>
  <c r="H148" i="17" s="1"/>
  <c r="H149" i="17" s="1"/>
  <c r="H150" i="17" s="1"/>
  <c r="H151" i="17" s="1"/>
  <c r="H152" i="17" s="1"/>
  <c r="H153" i="17" s="1"/>
  <c r="H154" i="17" s="1"/>
  <c r="H155" i="17" s="1"/>
  <c r="H156" i="17" s="1"/>
  <c r="H157" i="17" s="1"/>
  <c r="H158" i="17" s="1"/>
  <c r="H159" i="17" s="1"/>
  <c r="H160" i="17" s="1"/>
  <c r="H161" i="17" s="1"/>
  <c r="H162" i="17" s="1"/>
  <c r="H163" i="17" s="1"/>
  <c r="H164" i="17" s="1"/>
  <c r="H165" i="17" s="1"/>
  <c r="H166" i="17" s="1"/>
  <c r="H167" i="17" s="1"/>
  <c r="H168" i="17" s="1"/>
  <c r="H169" i="17" s="1"/>
  <c r="H170" i="17" s="1"/>
  <c r="H171" i="17" s="1"/>
  <c r="H172" i="17" s="1"/>
  <c r="H173" i="17" s="1"/>
  <c r="H174" i="17" s="1"/>
  <c r="H175" i="17" s="1"/>
  <c r="H176" i="17" s="1"/>
  <c r="H177" i="17" s="1"/>
  <c r="H178" i="17" s="1"/>
  <c r="H179" i="17" s="1"/>
  <c r="H180" i="17" s="1"/>
  <c r="H181" i="17" s="1"/>
  <c r="H182" i="17" s="1"/>
  <c r="H183" i="17" s="1"/>
  <c r="H184" i="17" s="1"/>
  <c r="H185" i="17" s="1"/>
  <c r="H186" i="17" s="1"/>
  <c r="H187" i="17" s="1"/>
  <c r="H188" i="17" s="1"/>
  <c r="H189" i="17" s="1"/>
  <c r="H190" i="17" s="1"/>
  <c r="H191" i="17" s="1"/>
  <c r="H192" i="17" s="1"/>
  <c r="H193" i="17" s="1"/>
  <c r="H194" i="17" s="1"/>
  <c r="H195" i="17" s="1"/>
  <c r="H196" i="17" s="1"/>
  <c r="H197" i="17" s="1"/>
  <c r="H198" i="17" s="1"/>
  <c r="H199" i="17" s="1"/>
  <c r="H200" i="17" s="1"/>
  <c r="H201" i="17" s="1"/>
  <c r="H202" i="17" s="1"/>
  <c r="H203" i="17" s="1"/>
  <c r="H204" i="17" s="1"/>
  <c r="H205" i="17" s="1"/>
  <c r="H206" i="17" s="1"/>
  <c r="H207" i="17" s="1"/>
  <c r="H208" i="17" s="1"/>
  <c r="H209" i="17" s="1"/>
  <c r="H210" i="17" s="1"/>
  <c r="H211" i="17" s="1"/>
  <c r="H212" i="17" s="1"/>
  <c r="H213" i="17" s="1"/>
  <c r="H214" i="17" s="1"/>
  <c r="H215" i="17" s="1"/>
  <c r="H216" i="17" s="1"/>
  <c r="H217" i="17" s="1"/>
  <c r="H218" i="17" s="1"/>
  <c r="H219" i="17" s="1"/>
  <c r="H220" i="17" s="1"/>
  <c r="H221" i="17" s="1"/>
  <c r="H222" i="17" s="1"/>
  <c r="H223" i="17" s="1"/>
  <c r="H224" i="17" s="1"/>
  <c r="H225" i="17" s="1"/>
  <c r="H226" i="17" s="1"/>
  <c r="H227" i="17" s="1"/>
  <c r="H228" i="17" s="1"/>
  <c r="H229" i="17" s="1"/>
  <c r="H230" i="17" s="1"/>
  <c r="H231" i="17" s="1"/>
  <c r="H232" i="17" s="1"/>
  <c r="H233" i="17" s="1"/>
  <c r="H234" i="17" s="1"/>
  <c r="H235" i="17" s="1"/>
  <c r="H236" i="17" s="1"/>
  <c r="H237" i="17" s="1"/>
  <c r="H238" i="17" s="1"/>
  <c r="H239" i="17" s="1"/>
  <c r="H240" i="17" s="1"/>
  <c r="H241" i="17" s="1"/>
  <c r="H242" i="17" s="1"/>
  <c r="H243" i="17" s="1"/>
  <c r="H244" i="17" s="1"/>
  <c r="H245" i="17" s="1"/>
  <c r="H246" i="17" s="1"/>
  <c r="H247" i="17" s="1"/>
  <c r="H248" i="17" s="1"/>
  <c r="H249" i="17" s="1"/>
  <c r="H250" i="17" s="1"/>
  <c r="H251" i="17" s="1"/>
  <c r="H252" i="17" s="1"/>
  <c r="H253" i="17" s="1"/>
  <c r="H254" i="17" s="1"/>
  <c r="H255" i="17" s="1"/>
  <c r="H256" i="17" s="1"/>
  <c r="H257" i="17" s="1"/>
  <c r="H258" i="17" s="1"/>
  <c r="H259" i="17" s="1"/>
  <c r="H260" i="17" s="1"/>
  <c r="H261" i="17" s="1"/>
  <c r="H262" i="17" s="1"/>
  <c r="H263" i="17" s="1"/>
  <c r="H265" i="17" s="1"/>
  <c r="G14" i="17"/>
  <c r="G15" i="17" s="1"/>
  <c r="G16" i="17" s="1"/>
  <c r="G17" i="17" s="1"/>
  <c r="G18" i="17" s="1"/>
  <c r="G19" i="17" s="1"/>
  <c r="G20" i="17" s="1"/>
  <c r="G21" i="17" s="1"/>
  <c r="G22" i="17" s="1"/>
  <c r="G23" i="17" s="1"/>
  <c r="G24" i="17" s="1"/>
  <c r="G25" i="17" s="1"/>
  <c r="G26" i="17" s="1"/>
  <c r="G27" i="17" s="1"/>
  <c r="G28" i="17" s="1"/>
  <c r="G29" i="17" s="1"/>
  <c r="G30" i="17" s="1"/>
  <c r="G31" i="17" s="1"/>
  <c r="G32" i="17" s="1"/>
  <c r="G33" i="17" s="1"/>
  <c r="G34" i="17" s="1"/>
  <c r="G35" i="17" s="1"/>
  <c r="G36" i="17" s="1"/>
  <c r="G37" i="17" s="1"/>
  <c r="G38" i="17" s="1"/>
  <c r="G39" i="17" s="1"/>
  <c r="G40" i="17" s="1"/>
  <c r="G41" i="17" s="1"/>
  <c r="G42" i="17" s="1"/>
  <c r="G43" i="17" s="1"/>
  <c r="G44" i="17" s="1"/>
  <c r="G45" i="17" s="1"/>
  <c r="G46" i="17" s="1"/>
  <c r="G47" i="17" s="1"/>
  <c r="G48" i="17" s="1"/>
  <c r="G49" i="17" s="1"/>
  <c r="G50" i="17" s="1"/>
  <c r="G51" i="17" s="1"/>
  <c r="G52" i="17" s="1"/>
  <c r="G53" i="17" s="1"/>
  <c r="G54" i="17" s="1"/>
  <c r="G55" i="17" s="1"/>
  <c r="G56" i="17" s="1"/>
  <c r="G57" i="17" s="1"/>
  <c r="G58" i="17" s="1"/>
  <c r="G59" i="17" s="1"/>
  <c r="G60" i="17" s="1"/>
  <c r="G61" i="17" s="1"/>
  <c r="G62" i="17" s="1"/>
  <c r="G63" i="17" s="1"/>
  <c r="G64" i="17" s="1"/>
  <c r="G65" i="17" s="1"/>
  <c r="G66" i="17" s="1"/>
  <c r="G67" i="17" s="1"/>
  <c r="G68" i="17" s="1"/>
  <c r="G69" i="17" s="1"/>
  <c r="G70" i="17" s="1"/>
  <c r="G71" i="17" s="1"/>
  <c r="G72" i="17" s="1"/>
  <c r="G73" i="17" s="1"/>
  <c r="G74" i="17" s="1"/>
  <c r="G75" i="17" s="1"/>
  <c r="G76" i="17" s="1"/>
  <c r="G77" i="17" s="1"/>
  <c r="G78" i="17" s="1"/>
  <c r="G79" i="17" s="1"/>
  <c r="G80" i="17" s="1"/>
  <c r="G81" i="17" s="1"/>
  <c r="G82" i="17" s="1"/>
  <c r="G83" i="17" s="1"/>
  <c r="G84" i="17" s="1"/>
  <c r="G85" i="17" s="1"/>
  <c r="G86" i="17" s="1"/>
  <c r="G87" i="17" s="1"/>
  <c r="G88" i="17" s="1"/>
  <c r="G89" i="17" s="1"/>
  <c r="G90" i="17" s="1"/>
  <c r="G91" i="17" s="1"/>
  <c r="G92" i="17" s="1"/>
  <c r="G93" i="17" s="1"/>
  <c r="G94" i="17" s="1"/>
  <c r="G95" i="17" s="1"/>
  <c r="G96" i="17" s="1"/>
  <c r="G97" i="17" s="1"/>
  <c r="G98" i="17" s="1"/>
  <c r="G99" i="17" s="1"/>
  <c r="G100" i="17" s="1"/>
  <c r="G101" i="17" s="1"/>
  <c r="G102" i="17" s="1"/>
  <c r="G103" i="17" s="1"/>
  <c r="G104" i="17" s="1"/>
  <c r="G105" i="17" s="1"/>
  <c r="G106" i="17" s="1"/>
  <c r="G107" i="17" s="1"/>
  <c r="G108" i="17" s="1"/>
  <c r="G109" i="17" s="1"/>
  <c r="G110" i="17" s="1"/>
  <c r="G111" i="17" s="1"/>
  <c r="G112" i="17" s="1"/>
  <c r="G113" i="17" s="1"/>
  <c r="G114" i="17" s="1"/>
  <c r="G115" i="17" s="1"/>
  <c r="G116" i="17" s="1"/>
  <c r="G117" i="17" s="1"/>
  <c r="G118" i="17" s="1"/>
  <c r="G119" i="17" s="1"/>
  <c r="G120" i="17" s="1"/>
  <c r="G121" i="17" s="1"/>
  <c r="G122" i="17" s="1"/>
  <c r="G123" i="17" s="1"/>
  <c r="G124" i="17" s="1"/>
  <c r="G125" i="17" s="1"/>
  <c r="G126" i="17" s="1"/>
  <c r="G127" i="17" s="1"/>
  <c r="G128" i="17" s="1"/>
  <c r="G129" i="17" s="1"/>
  <c r="G130" i="17" s="1"/>
  <c r="G131" i="17" s="1"/>
  <c r="G132" i="17" s="1"/>
  <c r="G133" i="17" s="1"/>
  <c r="G134" i="17" s="1"/>
  <c r="G135" i="17" s="1"/>
  <c r="G136" i="17" s="1"/>
  <c r="G137" i="17" s="1"/>
  <c r="G138" i="17" s="1"/>
  <c r="G139" i="17" s="1"/>
  <c r="G140" i="17" s="1"/>
  <c r="G141" i="17" s="1"/>
  <c r="G142" i="17" s="1"/>
  <c r="G143" i="17" s="1"/>
  <c r="G144" i="17" s="1"/>
  <c r="G145" i="17" s="1"/>
  <c r="G146" i="17" s="1"/>
  <c r="G147" i="17" s="1"/>
  <c r="G148" i="17" s="1"/>
  <c r="G149" i="17" s="1"/>
  <c r="G150" i="17" s="1"/>
  <c r="G151" i="17" s="1"/>
  <c r="G152" i="17" s="1"/>
  <c r="G153" i="17" s="1"/>
  <c r="G154" i="17" s="1"/>
  <c r="G155" i="17" s="1"/>
  <c r="G156" i="17" s="1"/>
  <c r="G157" i="17" s="1"/>
  <c r="G158" i="17" s="1"/>
  <c r="G159" i="17" s="1"/>
  <c r="G160" i="17" s="1"/>
  <c r="G161" i="17" s="1"/>
  <c r="G162" i="17" s="1"/>
  <c r="G163" i="17" s="1"/>
  <c r="G164" i="17" s="1"/>
  <c r="G165" i="17" s="1"/>
  <c r="G166" i="17" s="1"/>
  <c r="G167" i="17" s="1"/>
  <c r="G168" i="17" s="1"/>
  <c r="G169" i="17" s="1"/>
  <c r="G170" i="17" s="1"/>
  <c r="G171" i="17" s="1"/>
  <c r="G172" i="17" s="1"/>
  <c r="G173" i="17" s="1"/>
  <c r="G174" i="17" s="1"/>
  <c r="G175" i="17" s="1"/>
  <c r="G176" i="17" s="1"/>
  <c r="G177" i="17" s="1"/>
  <c r="G178" i="17" s="1"/>
  <c r="G179" i="17" s="1"/>
  <c r="G180" i="17" s="1"/>
  <c r="G181" i="17" s="1"/>
  <c r="G182" i="17" s="1"/>
  <c r="G183" i="17" s="1"/>
  <c r="G184" i="17" s="1"/>
  <c r="G185" i="17" s="1"/>
  <c r="G186" i="17" s="1"/>
  <c r="G187" i="17" s="1"/>
  <c r="G188" i="17" s="1"/>
  <c r="G189" i="17" s="1"/>
  <c r="G190" i="17" s="1"/>
  <c r="G191" i="17" s="1"/>
  <c r="G192" i="17" s="1"/>
  <c r="G193" i="17" s="1"/>
  <c r="G194" i="17" s="1"/>
  <c r="G195" i="17" s="1"/>
  <c r="G196" i="17" s="1"/>
  <c r="G197" i="17" s="1"/>
  <c r="G198" i="17" s="1"/>
  <c r="G199" i="17" s="1"/>
  <c r="G200" i="17" s="1"/>
  <c r="G201" i="17" s="1"/>
  <c r="G202" i="17" s="1"/>
  <c r="G203" i="17" s="1"/>
  <c r="G204" i="17" s="1"/>
  <c r="G205" i="17" s="1"/>
  <c r="G206" i="17" s="1"/>
  <c r="G207" i="17" s="1"/>
  <c r="G208" i="17" s="1"/>
  <c r="G209" i="17" s="1"/>
  <c r="G210" i="17" s="1"/>
  <c r="G211" i="17" s="1"/>
  <c r="G212" i="17" s="1"/>
  <c r="G213" i="17" s="1"/>
  <c r="G214" i="17" s="1"/>
  <c r="G215" i="17" s="1"/>
  <c r="G216" i="17" s="1"/>
  <c r="G217" i="17" s="1"/>
  <c r="G218" i="17" s="1"/>
  <c r="G219" i="17" s="1"/>
  <c r="G220" i="17" s="1"/>
  <c r="G221" i="17" s="1"/>
  <c r="G222" i="17" s="1"/>
  <c r="G223" i="17" s="1"/>
  <c r="G224" i="17" s="1"/>
  <c r="G225" i="17" s="1"/>
  <c r="G226" i="17" s="1"/>
  <c r="G227" i="17" s="1"/>
  <c r="G228" i="17" s="1"/>
  <c r="G229" i="17" s="1"/>
  <c r="G230" i="17" s="1"/>
  <c r="G231" i="17" s="1"/>
  <c r="G232" i="17" s="1"/>
  <c r="G233" i="17" s="1"/>
  <c r="G234" i="17" s="1"/>
  <c r="G235" i="17" s="1"/>
  <c r="G236" i="17" s="1"/>
  <c r="G237" i="17" s="1"/>
  <c r="G238" i="17" s="1"/>
  <c r="G239" i="17" s="1"/>
  <c r="G240" i="17" s="1"/>
  <c r="G241" i="17" s="1"/>
  <c r="G242" i="17" s="1"/>
  <c r="G243" i="17" s="1"/>
  <c r="G244" i="17" s="1"/>
  <c r="G245" i="17" s="1"/>
  <c r="G246" i="17" s="1"/>
  <c r="G247" i="17" s="1"/>
  <c r="G248" i="17" s="1"/>
  <c r="G249" i="17" s="1"/>
  <c r="G250" i="17" s="1"/>
  <c r="G251" i="17" s="1"/>
  <c r="G252" i="17" s="1"/>
  <c r="G253" i="17" s="1"/>
  <c r="G254" i="17" s="1"/>
  <c r="G255" i="17" s="1"/>
  <c r="G256" i="17" s="1"/>
  <c r="G257" i="17" s="1"/>
  <c r="G258" i="17" s="1"/>
  <c r="G259" i="17" s="1"/>
  <c r="G260" i="17" s="1"/>
  <c r="G261" i="17" s="1"/>
  <c r="G262" i="17" s="1"/>
  <c r="G263" i="17" s="1"/>
  <c r="G265" i="17" s="1"/>
  <c r="F14" i="17"/>
  <c r="F15" i="17" s="1"/>
  <c r="F16" i="17" s="1"/>
  <c r="F17" i="17" s="1"/>
  <c r="F18" i="17" s="1"/>
  <c r="F19" i="17" s="1"/>
  <c r="F20" i="17" s="1"/>
  <c r="F21" i="17" s="1"/>
  <c r="F22" i="17" s="1"/>
  <c r="F23" i="17" s="1"/>
  <c r="F24" i="17" s="1"/>
  <c r="F25" i="17" s="1"/>
  <c r="F26" i="17" s="1"/>
  <c r="F27" i="17" s="1"/>
  <c r="F28" i="17" s="1"/>
  <c r="F29" i="17" s="1"/>
  <c r="F30" i="17" s="1"/>
  <c r="F31" i="17" s="1"/>
  <c r="F32" i="17" s="1"/>
  <c r="F33" i="17" s="1"/>
  <c r="F34" i="17" s="1"/>
  <c r="F35" i="17" s="1"/>
  <c r="F36" i="17" s="1"/>
  <c r="F37" i="17" s="1"/>
  <c r="F38" i="17" s="1"/>
  <c r="F39" i="17" s="1"/>
  <c r="F40" i="17" s="1"/>
  <c r="F41" i="17" s="1"/>
  <c r="F42" i="17" s="1"/>
  <c r="F43" i="17" s="1"/>
  <c r="F44" i="17" s="1"/>
  <c r="F45" i="17" s="1"/>
  <c r="F46" i="17" s="1"/>
  <c r="F47" i="17" s="1"/>
  <c r="F48" i="17" s="1"/>
  <c r="F49" i="17" s="1"/>
  <c r="F50" i="17" s="1"/>
  <c r="F51" i="17" s="1"/>
  <c r="F52" i="17" s="1"/>
  <c r="F53" i="17" s="1"/>
  <c r="F54" i="17" s="1"/>
  <c r="F55" i="17" s="1"/>
  <c r="F56" i="17" s="1"/>
  <c r="F57" i="17" s="1"/>
  <c r="F58" i="17" s="1"/>
  <c r="F59" i="17" s="1"/>
  <c r="F60" i="17" s="1"/>
  <c r="F61" i="17" s="1"/>
  <c r="F62" i="17" s="1"/>
  <c r="F63" i="17" s="1"/>
  <c r="F64" i="17" s="1"/>
  <c r="F65" i="17" s="1"/>
  <c r="F66" i="17" s="1"/>
  <c r="F67" i="17" s="1"/>
  <c r="F68" i="17" s="1"/>
  <c r="F69" i="17" s="1"/>
  <c r="F70" i="17" s="1"/>
  <c r="F71" i="17" s="1"/>
  <c r="F72" i="17" s="1"/>
  <c r="F73" i="17" s="1"/>
  <c r="F74" i="17" s="1"/>
  <c r="F75" i="17" s="1"/>
  <c r="F76" i="17" s="1"/>
  <c r="F77" i="17" s="1"/>
  <c r="F78" i="17" s="1"/>
  <c r="F79" i="17" s="1"/>
  <c r="F80" i="17" s="1"/>
  <c r="F81" i="17" s="1"/>
  <c r="F82" i="17" s="1"/>
  <c r="F83" i="17" s="1"/>
  <c r="F84" i="17" s="1"/>
  <c r="F85" i="17" s="1"/>
  <c r="F86" i="17" s="1"/>
  <c r="F87" i="17" s="1"/>
  <c r="F88" i="17" s="1"/>
  <c r="F89" i="17" s="1"/>
  <c r="F90" i="17" s="1"/>
  <c r="F91" i="17" s="1"/>
  <c r="F92" i="17" s="1"/>
  <c r="F93" i="17" s="1"/>
  <c r="F94" i="17" s="1"/>
  <c r="F95" i="17" s="1"/>
  <c r="F96" i="17" s="1"/>
  <c r="F97" i="17" s="1"/>
  <c r="F98" i="17" s="1"/>
  <c r="F99" i="17" s="1"/>
  <c r="F100" i="17" s="1"/>
  <c r="F101" i="17" s="1"/>
  <c r="F102" i="17" s="1"/>
  <c r="F103" i="17" s="1"/>
  <c r="F104" i="17" s="1"/>
  <c r="F105" i="17" s="1"/>
  <c r="F106" i="17" s="1"/>
  <c r="F107" i="17" s="1"/>
  <c r="F108" i="17" s="1"/>
  <c r="F109" i="17" s="1"/>
  <c r="F110" i="17" s="1"/>
  <c r="F111" i="17" s="1"/>
  <c r="F112" i="17" s="1"/>
  <c r="F113" i="17" s="1"/>
  <c r="F114" i="17" s="1"/>
  <c r="F115" i="17" s="1"/>
  <c r="F116" i="17" s="1"/>
  <c r="F117" i="17" s="1"/>
  <c r="F118" i="17" s="1"/>
  <c r="F119" i="17" s="1"/>
  <c r="F120" i="17" s="1"/>
  <c r="F121" i="17" s="1"/>
  <c r="F122" i="17" s="1"/>
  <c r="F123" i="17" s="1"/>
  <c r="F124" i="17" s="1"/>
  <c r="F125" i="17" s="1"/>
  <c r="F126" i="17" s="1"/>
  <c r="F127" i="17" s="1"/>
  <c r="F128" i="17" s="1"/>
  <c r="F129" i="17" s="1"/>
  <c r="F130" i="17" s="1"/>
  <c r="F131" i="17" s="1"/>
  <c r="F132" i="17" s="1"/>
  <c r="F133" i="17" s="1"/>
  <c r="F134" i="17" s="1"/>
  <c r="F135" i="17" s="1"/>
  <c r="F136" i="17" s="1"/>
  <c r="F137" i="17" s="1"/>
  <c r="F138" i="17" s="1"/>
  <c r="F139" i="17" s="1"/>
  <c r="F140" i="17" s="1"/>
  <c r="F141" i="17" s="1"/>
  <c r="F142" i="17" s="1"/>
  <c r="F143" i="17" s="1"/>
  <c r="F144" i="17" s="1"/>
  <c r="F145" i="17" s="1"/>
  <c r="F146" i="17" s="1"/>
  <c r="F147" i="17" s="1"/>
  <c r="F148" i="17" s="1"/>
  <c r="F149" i="17" s="1"/>
  <c r="F150" i="17" s="1"/>
  <c r="F151" i="17" s="1"/>
  <c r="F152" i="17" s="1"/>
  <c r="F153" i="17" s="1"/>
  <c r="F154" i="17" s="1"/>
  <c r="F155" i="17" s="1"/>
  <c r="F156" i="17" s="1"/>
  <c r="F157" i="17" s="1"/>
  <c r="F158" i="17" s="1"/>
  <c r="F159" i="17" s="1"/>
  <c r="F160" i="17" s="1"/>
  <c r="F161" i="17" s="1"/>
  <c r="F162" i="17" s="1"/>
  <c r="F163" i="17" s="1"/>
  <c r="F164" i="17" s="1"/>
  <c r="F165" i="17" s="1"/>
  <c r="F166" i="17" s="1"/>
  <c r="F167" i="17" s="1"/>
  <c r="F168" i="17" s="1"/>
  <c r="F169" i="17" s="1"/>
  <c r="F170" i="17" s="1"/>
  <c r="F171" i="17" s="1"/>
  <c r="F172" i="17" s="1"/>
  <c r="F173" i="17" s="1"/>
  <c r="F174" i="17" s="1"/>
  <c r="F175" i="17" s="1"/>
  <c r="F176" i="17" s="1"/>
  <c r="F177" i="17" s="1"/>
  <c r="F178" i="17" s="1"/>
  <c r="F179" i="17" s="1"/>
  <c r="F180" i="17" s="1"/>
  <c r="F181" i="17" s="1"/>
  <c r="F182" i="17" s="1"/>
  <c r="F183" i="17" s="1"/>
  <c r="F184" i="17" s="1"/>
  <c r="F185" i="17" s="1"/>
  <c r="F186" i="17" s="1"/>
  <c r="F187" i="17" s="1"/>
  <c r="F188" i="17" s="1"/>
  <c r="F189" i="17" s="1"/>
  <c r="F190" i="17" s="1"/>
  <c r="F191" i="17" s="1"/>
  <c r="F192" i="17" s="1"/>
  <c r="F193" i="17" s="1"/>
  <c r="F194" i="17" s="1"/>
  <c r="F195" i="17" s="1"/>
  <c r="F196" i="17" s="1"/>
  <c r="F197" i="17" s="1"/>
  <c r="F198" i="17" s="1"/>
  <c r="F199" i="17" s="1"/>
  <c r="F200" i="17" s="1"/>
  <c r="F201" i="17" s="1"/>
  <c r="F202" i="17" s="1"/>
  <c r="F203" i="17" s="1"/>
  <c r="F204" i="17" s="1"/>
  <c r="F205" i="17" s="1"/>
  <c r="F206" i="17" s="1"/>
  <c r="F207" i="17" s="1"/>
  <c r="F208" i="17" s="1"/>
  <c r="F209" i="17" s="1"/>
  <c r="F210" i="17" s="1"/>
  <c r="F211" i="17" s="1"/>
  <c r="F212" i="17" s="1"/>
  <c r="F213" i="17" s="1"/>
  <c r="F214" i="17" s="1"/>
  <c r="F215" i="17" s="1"/>
  <c r="F216" i="17" s="1"/>
  <c r="F217" i="17" s="1"/>
  <c r="F218" i="17" s="1"/>
  <c r="F219" i="17" s="1"/>
  <c r="F220" i="17" s="1"/>
  <c r="F221" i="17" s="1"/>
  <c r="F222" i="17" s="1"/>
  <c r="F223" i="17" s="1"/>
  <c r="F224" i="17" s="1"/>
  <c r="F225" i="17" s="1"/>
  <c r="F226" i="17" s="1"/>
  <c r="F227" i="17" s="1"/>
  <c r="F228" i="17" s="1"/>
  <c r="F229" i="17" s="1"/>
  <c r="F230" i="17" s="1"/>
  <c r="F231" i="17" s="1"/>
  <c r="F232" i="17" s="1"/>
  <c r="F233" i="17" s="1"/>
  <c r="F234" i="17" s="1"/>
  <c r="F235" i="17" s="1"/>
  <c r="F236" i="17" s="1"/>
  <c r="F237" i="17" s="1"/>
  <c r="F238" i="17" s="1"/>
  <c r="F239" i="17" s="1"/>
  <c r="F240" i="17" s="1"/>
  <c r="F241" i="17" s="1"/>
  <c r="F242" i="17" s="1"/>
  <c r="F243" i="17" s="1"/>
  <c r="F244" i="17" s="1"/>
  <c r="F245" i="17" s="1"/>
  <c r="F246" i="17" s="1"/>
  <c r="F247" i="17" s="1"/>
  <c r="F248" i="17" s="1"/>
  <c r="F249" i="17" s="1"/>
  <c r="F250" i="17" s="1"/>
  <c r="F251" i="17" s="1"/>
  <c r="F252" i="17" s="1"/>
  <c r="F253" i="17" s="1"/>
  <c r="F254" i="17" s="1"/>
  <c r="F255" i="17" s="1"/>
  <c r="F256" i="17" s="1"/>
  <c r="F257" i="17" s="1"/>
  <c r="F258" i="17" s="1"/>
  <c r="F259" i="17" s="1"/>
  <c r="F260" i="17" s="1"/>
  <c r="F261" i="17" s="1"/>
  <c r="F262" i="17" s="1"/>
  <c r="F263" i="17" s="1"/>
  <c r="E14" i="17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E54" i="17" s="1"/>
  <c r="E55" i="17" s="1"/>
  <c r="E56" i="17" s="1"/>
  <c r="E57" i="17" s="1"/>
  <c r="E58" i="17" s="1"/>
  <c r="E59" i="17" s="1"/>
  <c r="E60" i="17" s="1"/>
  <c r="E61" i="17" s="1"/>
  <c r="E62" i="17" s="1"/>
  <c r="E63" i="17" s="1"/>
  <c r="E64" i="17" s="1"/>
  <c r="E65" i="17" s="1"/>
  <c r="E66" i="17" s="1"/>
  <c r="E67" i="17" s="1"/>
  <c r="E68" i="17" s="1"/>
  <c r="E69" i="17" s="1"/>
  <c r="E70" i="17" s="1"/>
  <c r="E71" i="17" s="1"/>
  <c r="E72" i="17" s="1"/>
  <c r="E73" i="17" s="1"/>
  <c r="E74" i="17" s="1"/>
  <c r="E75" i="17" s="1"/>
  <c r="E76" i="17" s="1"/>
  <c r="E77" i="17" s="1"/>
  <c r="E78" i="17" s="1"/>
  <c r="E79" i="17" s="1"/>
  <c r="E80" i="17" s="1"/>
  <c r="E81" i="17" s="1"/>
  <c r="E82" i="17" s="1"/>
  <c r="E83" i="17" s="1"/>
  <c r="E84" i="17" s="1"/>
  <c r="E85" i="17" s="1"/>
  <c r="E86" i="17" s="1"/>
  <c r="E87" i="17" s="1"/>
  <c r="E88" i="17" s="1"/>
  <c r="E89" i="17" s="1"/>
  <c r="E90" i="17" s="1"/>
  <c r="E91" i="17" s="1"/>
  <c r="E92" i="17" s="1"/>
  <c r="E93" i="17" s="1"/>
  <c r="E94" i="17" s="1"/>
  <c r="E95" i="17" s="1"/>
  <c r="E96" i="17" s="1"/>
  <c r="E97" i="17" s="1"/>
  <c r="E98" i="17" s="1"/>
  <c r="E99" i="17" s="1"/>
  <c r="E100" i="17" s="1"/>
  <c r="E101" i="17" s="1"/>
  <c r="E102" i="17" s="1"/>
  <c r="E103" i="17" s="1"/>
  <c r="E104" i="17" s="1"/>
  <c r="E105" i="17" s="1"/>
  <c r="E106" i="17" s="1"/>
  <c r="E107" i="17" s="1"/>
  <c r="E108" i="17" s="1"/>
  <c r="E109" i="17" s="1"/>
  <c r="E110" i="17" s="1"/>
  <c r="E111" i="17" s="1"/>
  <c r="E112" i="17" s="1"/>
  <c r="E113" i="17" s="1"/>
  <c r="E114" i="17" s="1"/>
  <c r="E115" i="17" s="1"/>
  <c r="E116" i="17" s="1"/>
  <c r="E117" i="17" s="1"/>
  <c r="E118" i="17" s="1"/>
  <c r="E119" i="17" s="1"/>
  <c r="E120" i="17" s="1"/>
  <c r="E121" i="17" s="1"/>
  <c r="E122" i="17" s="1"/>
  <c r="E123" i="17" s="1"/>
  <c r="E124" i="17" s="1"/>
  <c r="E125" i="17" s="1"/>
  <c r="E126" i="17" s="1"/>
  <c r="E127" i="17" s="1"/>
  <c r="E128" i="17" s="1"/>
  <c r="E129" i="17" s="1"/>
  <c r="E130" i="17" s="1"/>
  <c r="E131" i="17" s="1"/>
  <c r="E132" i="17" s="1"/>
  <c r="E133" i="17" s="1"/>
  <c r="E134" i="17" s="1"/>
  <c r="E135" i="17" s="1"/>
  <c r="E136" i="17" s="1"/>
  <c r="E137" i="17" s="1"/>
  <c r="E138" i="17" s="1"/>
  <c r="E139" i="17" s="1"/>
  <c r="E140" i="17" s="1"/>
  <c r="E141" i="17" s="1"/>
  <c r="E142" i="17" s="1"/>
  <c r="E143" i="17" s="1"/>
  <c r="E144" i="17" s="1"/>
  <c r="E145" i="17" s="1"/>
  <c r="E146" i="17" s="1"/>
  <c r="E147" i="17" s="1"/>
  <c r="E148" i="17" s="1"/>
  <c r="E149" i="17" s="1"/>
  <c r="E150" i="17" s="1"/>
  <c r="E151" i="17" s="1"/>
  <c r="E152" i="17" s="1"/>
  <c r="E153" i="17" s="1"/>
  <c r="E154" i="17" s="1"/>
  <c r="E155" i="17" s="1"/>
  <c r="E156" i="17" s="1"/>
  <c r="E157" i="17" s="1"/>
  <c r="E158" i="17" s="1"/>
  <c r="E159" i="17" s="1"/>
  <c r="E160" i="17" s="1"/>
  <c r="E161" i="17" s="1"/>
  <c r="E162" i="17" s="1"/>
  <c r="E163" i="17" s="1"/>
  <c r="E164" i="17" s="1"/>
  <c r="E165" i="17" s="1"/>
  <c r="E166" i="17" s="1"/>
  <c r="E167" i="17" s="1"/>
  <c r="E168" i="17" s="1"/>
  <c r="E169" i="17" s="1"/>
  <c r="E170" i="17" s="1"/>
  <c r="E171" i="17" s="1"/>
  <c r="E172" i="17" s="1"/>
  <c r="E173" i="17" s="1"/>
  <c r="E174" i="17" s="1"/>
  <c r="E175" i="17" s="1"/>
  <c r="E176" i="17" s="1"/>
  <c r="E177" i="17" s="1"/>
  <c r="E178" i="17" s="1"/>
  <c r="E179" i="17" s="1"/>
  <c r="E180" i="17" s="1"/>
  <c r="E181" i="17" s="1"/>
  <c r="E182" i="17" s="1"/>
  <c r="E183" i="17" s="1"/>
  <c r="E184" i="17" s="1"/>
  <c r="E185" i="17" s="1"/>
  <c r="E186" i="17" s="1"/>
  <c r="E187" i="17" s="1"/>
  <c r="E188" i="17" s="1"/>
  <c r="E189" i="17" s="1"/>
  <c r="E190" i="17" s="1"/>
  <c r="E191" i="17" s="1"/>
  <c r="E192" i="17" s="1"/>
  <c r="E193" i="17" s="1"/>
  <c r="E194" i="17" s="1"/>
  <c r="E195" i="17" s="1"/>
  <c r="E196" i="17" s="1"/>
  <c r="E197" i="17" s="1"/>
  <c r="E198" i="17" s="1"/>
  <c r="E199" i="17" s="1"/>
  <c r="E200" i="17" s="1"/>
  <c r="E201" i="17" s="1"/>
  <c r="E202" i="17" s="1"/>
  <c r="E203" i="17" s="1"/>
  <c r="E204" i="17" s="1"/>
  <c r="E205" i="17" s="1"/>
  <c r="E206" i="17" s="1"/>
  <c r="E207" i="17" s="1"/>
  <c r="E208" i="17" s="1"/>
  <c r="E209" i="17" s="1"/>
  <c r="E210" i="17" s="1"/>
  <c r="E211" i="17" s="1"/>
  <c r="E212" i="17" s="1"/>
  <c r="E213" i="17" s="1"/>
  <c r="E214" i="17" s="1"/>
  <c r="E215" i="17" s="1"/>
  <c r="E216" i="17" s="1"/>
  <c r="E217" i="17" s="1"/>
  <c r="E218" i="17" s="1"/>
  <c r="E219" i="17" s="1"/>
  <c r="E220" i="17" s="1"/>
  <c r="E221" i="17" s="1"/>
  <c r="E222" i="17" s="1"/>
  <c r="E223" i="17" s="1"/>
  <c r="E224" i="17" s="1"/>
  <c r="E225" i="17" s="1"/>
  <c r="E226" i="17" s="1"/>
  <c r="E227" i="17" s="1"/>
  <c r="E228" i="17" s="1"/>
  <c r="E229" i="17" s="1"/>
  <c r="E230" i="17" s="1"/>
  <c r="E231" i="17" s="1"/>
  <c r="E232" i="17" s="1"/>
  <c r="E233" i="17" s="1"/>
  <c r="E234" i="17" s="1"/>
  <c r="E235" i="17" s="1"/>
  <c r="E236" i="17" s="1"/>
  <c r="E237" i="17" s="1"/>
  <c r="E238" i="17" s="1"/>
  <c r="E239" i="17" s="1"/>
  <c r="E240" i="17" s="1"/>
  <c r="E241" i="17" s="1"/>
  <c r="E242" i="17" s="1"/>
  <c r="E243" i="17" s="1"/>
  <c r="E244" i="17" s="1"/>
  <c r="E245" i="17" s="1"/>
  <c r="E246" i="17" s="1"/>
  <c r="E247" i="17" s="1"/>
  <c r="E248" i="17" s="1"/>
  <c r="E249" i="17" s="1"/>
  <c r="E250" i="17" s="1"/>
  <c r="E251" i="17" s="1"/>
  <c r="E252" i="17" s="1"/>
  <c r="E253" i="17" s="1"/>
  <c r="E254" i="17" s="1"/>
  <c r="E255" i="17" s="1"/>
  <c r="E256" i="17" s="1"/>
  <c r="E257" i="17" s="1"/>
  <c r="E258" i="17" s="1"/>
  <c r="E259" i="17" s="1"/>
  <c r="E260" i="17" s="1"/>
  <c r="E261" i="17" s="1"/>
  <c r="E262" i="17" s="1"/>
  <c r="E263" i="17" s="1"/>
  <c r="D14" i="17"/>
  <c r="D15" i="17" s="1"/>
  <c r="D16" i="17" s="1"/>
  <c r="D17" i="17" s="1"/>
  <c r="D18" i="17" s="1"/>
  <c r="D19" i="17" s="1"/>
  <c r="D20" i="17" s="1"/>
  <c r="D21" i="17" s="1"/>
  <c r="D22" i="17" s="1"/>
  <c r="D23" i="17" s="1"/>
  <c r="D24" i="17" s="1"/>
  <c r="D25" i="17" s="1"/>
  <c r="D26" i="17" s="1"/>
  <c r="D27" i="17" s="1"/>
  <c r="D28" i="17" s="1"/>
  <c r="D29" i="17" s="1"/>
  <c r="D30" i="17" s="1"/>
  <c r="D31" i="17" s="1"/>
  <c r="D32" i="17" s="1"/>
  <c r="D33" i="17" s="1"/>
  <c r="D34" i="17" s="1"/>
  <c r="D35" i="17" s="1"/>
  <c r="D36" i="17" s="1"/>
  <c r="D37" i="17" s="1"/>
  <c r="D38" i="17" s="1"/>
  <c r="D39" i="17" s="1"/>
  <c r="D40" i="17" s="1"/>
  <c r="D41" i="17" s="1"/>
  <c r="D42" i="17" s="1"/>
  <c r="D43" i="17" s="1"/>
  <c r="D44" i="17" s="1"/>
  <c r="D45" i="17" s="1"/>
  <c r="D46" i="17" s="1"/>
  <c r="D47" i="17" s="1"/>
  <c r="D48" i="17" s="1"/>
  <c r="D49" i="17" s="1"/>
  <c r="D50" i="17" s="1"/>
  <c r="D51" i="17" s="1"/>
  <c r="D52" i="17" s="1"/>
  <c r="D53" i="17" s="1"/>
  <c r="D54" i="17" s="1"/>
  <c r="D55" i="17" s="1"/>
  <c r="D56" i="17" s="1"/>
  <c r="D57" i="17" s="1"/>
  <c r="D58" i="17" s="1"/>
  <c r="D59" i="17" s="1"/>
  <c r="D60" i="17" s="1"/>
  <c r="D61" i="17" s="1"/>
  <c r="D62" i="17" s="1"/>
  <c r="D63" i="17" s="1"/>
  <c r="D64" i="17" s="1"/>
  <c r="D65" i="17" s="1"/>
  <c r="D66" i="17" s="1"/>
  <c r="D67" i="17" s="1"/>
  <c r="D68" i="17" s="1"/>
  <c r="D69" i="17" s="1"/>
  <c r="D70" i="17" s="1"/>
  <c r="D71" i="17" s="1"/>
  <c r="D72" i="17" s="1"/>
  <c r="D73" i="17" s="1"/>
  <c r="D74" i="17" s="1"/>
  <c r="D75" i="17" s="1"/>
  <c r="D76" i="17" s="1"/>
  <c r="D77" i="17" s="1"/>
  <c r="D78" i="17" s="1"/>
  <c r="D79" i="17" s="1"/>
  <c r="D80" i="17" s="1"/>
  <c r="D81" i="17" s="1"/>
  <c r="D82" i="17" s="1"/>
  <c r="D83" i="17" s="1"/>
  <c r="D84" i="17" s="1"/>
  <c r="D85" i="17" s="1"/>
  <c r="D86" i="17" s="1"/>
  <c r="D87" i="17" s="1"/>
  <c r="D88" i="17" s="1"/>
  <c r="D89" i="17" s="1"/>
  <c r="D90" i="17" s="1"/>
  <c r="D91" i="17" s="1"/>
  <c r="D92" i="17" s="1"/>
  <c r="D93" i="17" s="1"/>
  <c r="D94" i="17" s="1"/>
  <c r="D95" i="17" s="1"/>
  <c r="D96" i="17" s="1"/>
  <c r="D97" i="17" s="1"/>
  <c r="D98" i="17" s="1"/>
  <c r="D99" i="17" s="1"/>
  <c r="D100" i="17" s="1"/>
  <c r="D101" i="17" s="1"/>
  <c r="D102" i="17" s="1"/>
  <c r="D103" i="17" s="1"/>
  <c r="D104" i="17" s="1"/>
  <c r="D105" i="17" s="1"/>
  <c r="D106" i="17" s="1"/>
  <c r="D107" i="17" s="1"/>
  <c r="D108" i="17" s="1"/>
  <c r="D109" i="17" s="1"/>
  <c r="D110" i="17" s="1"/>
  <c r="D111" i="17" s="1"/>
  <c r="D112" i="17" s="1"/>
  <c r="D113" i="17" s="1"/>
  <c r="D114" i="17" s="1"/>
  <c r="D115" i="17" s="1"/>
  <c r="D116" i="17" s="1"/>
  <c r="D117" i="17" s="1"/>
  <c r="D118" i="17" s="1"/>
  <c r="D119" i="17" s="1"/>
  <c r="D120" i="17" s="1"/>
  <c r="D121" i="17" s="1"/>
  <c r="D122" i="17" s="1"/>
  <c r="D123" i="17" s="1"/>
  <c r="D124" i="17" s="1"/>
  <c r="D125" i="17" s="1"/>
  <c r="D126" i="17" s="1"/>
  <c r="D127" i="17" s="1"/>
  <c r="D128" i="17" s="1"/>
  <c r="D129" i="17" s="1"/>
  <c r="D130" i="17" s="1"/>
  <c r="D131" i="17" s="1"/>
  <c r="D132" i="17" s="1"/>
  <c r="D133" i="17" s="1"/>
  <c r="D134" i="17" s="1"/>
  <c r="D135" i="17" s="1"/>
  <c r="D136" i="17" s="1"/>
  <c r="D137" i="17" s="1"/>
  <c r="D138" i="17" s="1"/>
  <c r="D139" i="17" s="1"/>
  <c r="D140" i="17" s="1"/>
  <c r="D141" i="17" s="1"/>
  <c r="D142" i="17" s="1"/>
  <c r="D143" i="17" s="1"/>
  <c r="D144" i="17" s="1"/>
  <c r="D145" i="17" s="1"/>
  <c r="D146" i="17" s="1"/>
  <c r="D147" i="17" s="1"/>
  <c r="D148" i="17" s="1"/>
  <c r="D149" i="17" s="1"/>
  <c r="D150" i="17" s="1"/>
  <c r="D151" i="17" s="1"/>
  <c r="D152" i="17" s="1"/>
  <c r="D153" i="17" s="1"/>
  <c r="D154" i="17" s="1"/>
  <c r="D155" i="17" s="1"/>
  <c r="D156" i="17" s="1"/>
  <c r="D157" i="17" s="1"/>
  <c r="D158" i="17" s="1"/>
  <c r="D159" i="17" s="1"/>
  <c r="D160" i="17" s="1"/>
  <c r="D161" i="17" s="1"/>
  <c r="D162" i="17" s="1"/>
  <c r="D163" i="17" s="1"/>
  <c r="D164" i="17" s="1"/>
  <c r="D165" i="17" s="1"/>
  <c r="D166" i="17" s="1"/>
  <c r="D167" i="17" s="1"/>
  <c r="D168" i="17" s="1"/>
  <c r="D169" i="17" s="1"/>
  <c r="D170" i="17" s="1"/>
  <c r="D171" i="17" s="1"/>
  <c r="D172" i="17" s="1"/>
  <c r="D173" i="17" s="1"/>
  <c r="D174" i="17" s="1"/>
  <c r="D175" i="17" s="1"/>
  <c r="D176" i="17" s="1"/>
  <c r="D177" i="17" s="1"/>
  <c r="D178" i="17" s="1"/>
  <c r="D179" i="17" s="1"/>
  <c r="D180" i="17" s="1"/>
  <c r="D181" i="17" s="1"/>
  <c r="D182" i="17" s="1"/>
  <c r="D183" i="17" s="1"/>
  <c r="D184" i="17" s="1"/>
  <c r="D185" i="17" s="1"/>
  <c r="D186" i="17" s="1"/>
  <c r="D187" i="17" s="1"/>
  <c r="D188" i="17" s="1"/>
  <c r="D189" i="17" s="1"/>
  <c r="D190" i="17" s="1"/>
  <c r="D191" i="17" s="1"/>
  <c r="D192" i="17" s="1"/>
  <c r="D193" i="17" s="1"/>
  <c r="D194" i="17" s="1"/>
  <c r="D195" i="17" s="1"/>
  <c r="D196" i="17" s="1"/>
  <c r="D197" i="17" s="1"/>
  <c r="D198" i="17" s="1"/>
  <c r="D199" i="17" s="1"/>
  <c r="D200" i="17" s="1"/>
  <c r="D201" i="17" s="1"/>
  <c r="D202" i="17" s="1"/>
  <c r="D203" i="17" s="1"/>
  <c r="D204" i="17" s="1"/>
  <c r="D205" i="17" s="1"/>
  <c r="D206" i="17" s="1"/>
  <c r="D207" i="17" s="1"/>
  <c r="D208" i="17" s="1"/>
  <c r="D209" i="17" s="1"/>
  <c r="D210" i="17" s="1"/>
  <c r="D211" i="17" s="1"/>
  <c r="D212" i="17" s="1"/>
  <c r="D213" i="17" s="1"/>
  <c r="D214" i="17" s="1"/>
  <c r="D215" i="17" s="1"/>
  <c r="D216" i="17" s="1"/>
  <c r="D217" i="17" s="1"/>
  <c r="D218" i="17" s="1"/>
  <c r="D219" i="17" s="1"/>
  <c r="D220" i="17" s="1"/>
  <c r="D221" i="17" s="1"/>
  <c r="D222" i="17" s="1"/>
  <c r="D223" i="17" s="1"/>
  <c r="D224" i="17" s="1"/>
  <c r="D225" i="17" s="1"/>
  <c r="D226" i="17" s="1"/>
  <c r="D227" i="17" s="1"/>
  <c r="D228" i="17" s="1"/>
  <c r="D229" i="17" s="1"/>
  <c r="D230" i="17" s="1"/>
  <c r="D231" i="17" s="1"/>
  <c r="D232" i="17" s="1"/>
  <c r="D233" i="17" s="1"/>
  <c r="D234" i="17" s="1"/>
  <c r="D235" i="17" s="1"/>
  <c r="D236" i="17" s="1"/>
  <c r="D237" i="17" s="1"/>
  <c r="D238" i="17" s="1"/>
  <c r="D239" i="17" s="1"/>
  <c r="D240" i="17" s="1"/>
  <c r="D241" i="17" s="1"/>
  <c r="D242" i="17" s="1"/>
  <c r="D243" i="17" s="1"/>
  <c r="D244" i="17" s="1"/>
  <c r="D245" i="17" s="1"/>
  <c r="D246" i="17" s="1"/>
  <c r="D247" i="17" s="1"/>
  <c r="D248" i="17" s="1"/>
  <c r="D249" i="17" s="1"/>
  <c r="D250" i="17" s="1"/>
  <c r="D251" i="17" s="1"/>
  <c r="D252" i="17" s="1"/>
  <c r="D253" i="17" s="1"/>
  <c r="D254" i="17" s="1"/>
  <c r="D255" i="17" s="1"/>
  <c r="D256" i="17" s="1"/>
  <c r="D257" i="17" s="1"/>
  <c r="D258" i="17" s="1"/>
  <c r="D259" i="17" s="1"/>
  <c r="D260" i="17" s="1"/>
  <c r="D261" i="17" s="1"/>
  <c r="D262" i="17" s="1"/>
  <c r="D263" i="17" s="1"/>
  <c r="D265" i="17" s="1"/>
  <c r="C14" i="17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C72" i="17" s="1"/>
  <c r="C73" i="17" s="1"/>
  <c r="C74" i="17" s="1"/>
  <c r="C75" i="17" s="1"/>
  <c r="C76" i="17" s="1"/>
  <c r="C77" i="17" s="1"/>
  <c r="C78" i="17" s="1"/>
  <c r="C79" i="17" s="1"/>
  <c r="C80" i="17" s="1"/>
  <c r="C81" i="17" s="1"/>
  <c r="C82" i="17" s="1"/>
  <c r="C83" i="17" s="1"/>
  <c r="C84" i="17" s="1"/>
  <c r="C85" i="17" s="1"/>
  <c r="C86" i="17" s="1"/>
  <c r="C87" i="17" s="1"/>
  <c r="C88" i="17" s="1"/>
  <c r="C89" i="17" s="1"/>
  <c r="C90" i="17" s="1"/>
  <c r="C91" i="17" s="1"/>
  <c r="C92" i="17" s="1"/>
  <c r="C93" i="17" s="1"/>
  <c r="C94" i="17" s="1"/>
  <c r="C95" i="17" s="1"/>
  <c r="C96" i="17" s="1"/>
  <c r="C97" i="17" s="1"/>
  <c r="C98" i="17" s="1"/>
  <c r="C99" i="17" s="1"/>
  <c r="C100" i="17" s="1"/>
  <c r="C101" i="17" s="1"/>
  <c r="C102" i="17" s="1"/>
  <c r="C103" i="17" s="1"/>
  <c r="C104" i="17" s="1"/>
  <c r="C105" i="17" s="1"/>
  <c r="C106" i="17" s="1"/>
  <c r="C107" i="17" s="1"/>
  <c r="C108" i="17" s="1"/>
  <c r="C109" i="17" s="1"/>
  <c r="C110" i="17" s="1"/>
  <c r="C111" i="17" s="1"/>
  <c r="C112" i="17" s="1"/>
  <c r="C113" i="17" s="1"/>
  <c r="C114" i="17" s="1"/>
  <c r="C115" i="17" s="1"/>
  <c r="C116" i="17" s="1"/>
  <c r="C117" i="17" s="1"/>
  <c r="C118" i="17" s="1"/>
  <c r="C119" i="17" s="1"/>
  <c r="C120" i="17" s="1"/>
  <c r="C121" i="17" s="1"/>
  <c r="C122" i="17" s="1"/>
  <c r="C123" i="17" s="1"/>
  <c r="C124" i="17" s="1"/>
  <c r="C125" i="17" s="1"/>
  <c r="C126" i="17" s="1"/>
  <c r="C127" i="17" s="1"/>
  <c r="C128" i="17" s="1"/>
  <c r="C129" i="17" s="1"/>
  <c r="C130" i="17" s="1"/>
  <c r="C131" i="17" s="1"/>
  <c r="C132" i="17" s="1"/>
  <c r="C133" i="17" s="1"/>
  <c r="C134" i="17" s="1"/>
  <c r="C135" i="17" s="1"/>
  <c r="C136" i="17" s="1"/>
  <c r="C137" i="17" s="1"/>
  <c r="C138" i="17" s="1"/>
  <c r="C139" i="17" s="1"/>
  <c r="C140" i="17" s="1"/>
  <c r="C141" i="17" s="1"/>
  <c r="C142" i="17" s="1"/>
  <c r="C143" i="17" s="1"/>
  <c r="C144" i="17" s="1"/>
  <c r="C145" i="17" s="1"/>
  <c r="C146" i="17" s="1"/>
  <c r="C147" i="17" s="1"/>
  <c r="C148" i="17" s="1"/>
  <c r="C149" i="17" s="1"/>
  <c r="C150" i="17" s="1"/>
  <c r="C151" i="17" s="1"/>
  <c r="C152" i="17" s="1"/>
  <c r="C153" i="17" s="1"/>
  <c r="C154" i="17" s="1"/>
  <c r="C155" i="17" s="1"/>
  <c r="C156" i="17" s="1"/>
  <c r="C157" i="17" s="1"/>
  <c r="C158" i="17" s="1"/>
  <c r="C159" i="17" s="1"/>
  <c r="C160" i="17" s="1"/>
  <c r="C161" i="17" s="1"/>
  <c r="C162" i="17" s="1"/>
  <c r="C163" i="17" s="1"/>
  <c r="C164" i="17" s="1"/>
  <c r="C165" i="17" s="1"/>
  <c r="C166" i="17" s="1"/>
  <c r="C167" i="17" s="1"/>
  <c r="C168" i="17" s="1"/>
  <c r="C169" i="17" s="1"/>
  <c r="C170" i="17" s="1"/>
  <c r="C171" i="17" s="1"/>
  <c r="C172" i="17" s="1"/>
  <c r="C173" i="17" s="1"/>
  <c r="C174" i="17" s="1"/>
  <c r="C175" i="17" s="1"/>
  <c r="C176" i="17" s="1"/>
  <c r="C177" i="17" s="1"/>
  <c r="C178" i="17" s="1"/>
  <c r="C179" i="17" s="1"/>
  <c r="C180" i="17" s="1"/>
  <c r="C181" i="17" s="1"/>
  <c r="C182" i="17" s="1"/>
  <c r="C183" i="17" s="1"/>
  <c r="C184" i="17" s="1"/>
  <c r="C185" i="17" s="1"/>
  <c r="C186" i="17" s="1"/>
  <c r="C187" i="17" s="1"/>
  <c r="C188" i="17" s="1"/>
  <c r="C189" i="17" s="1"/>
  <c r="C190" i="17" s="1"/>
  <c r="C191" i="17" s="1"/>
  <c r="C192" i="17" s="1"/>
  <c r="C193" i="17" s="1"/>
  <c r="C194" i="17" s="1"/>
  <c r="C195" i="17" s="1"/>
  <c r="C196" i="17" s="1"/>
  <c r="C197" i="17" s="1"/>
  <c r="C198" i="17" s="1"/>
  <c r="C199" i="17" s="1"/>
  <c r="C200" i="17" s="1"/>
  <c r="C201" i="17" s="1"/>
  <c r="C202" i="17" s="1"/>
  <c r="C203" i="17" s="1"/>
  <c r="C204" i="17" s="1"/>
  <c r="C205" i="17" s="1"/>
  <c r="C206" i="17" s="1"/>
  <c r="C207" i="17" s="1"/>
  <c r="C208" i="17" s="1"/>
  <c r="C209" i="17" s="1"/>
  <c r="C210" i="17" s="1"/>
  <c r="C211" i="17" s="1"/>
  <c r="C212" i="17" s="1"/>
  <c r="C213" i="17" s="1"/>
  <c r="C214" i="17" s="1"/>
  <c r="C215" i="17" s="1"/>
  <c r="C216" i="17" s="1"/>
  <c r="C217" i="17" s="1"/>
  <c r="C218" i="17" s="1"/>
  <c r="C219" i="17" s="1"/>
  <c r="C220" i="17" s="1"/>
  <c r="C221" i="17" s="1"/>
  <c r="C222" i="17" s="1"/>
  <c r="C223" i="17" s="1"/>
  <c r="C224" i="17" s="1"/>
  <c r="C225" i="17" s="1"/>
  <c r="C226" i="17" s="1"/>
  <c r="C227" i="17" s="1"/>
  <c r="C228" i="17" s="1"/>
  <c r="C229" i="17" s="1"/>
  <c r="C230" i="17" s="1"/>
  <c r="C231" i="17" s="1"/>
  <c r="C232" i="17" s="1"/>
  <c r="C233" i="17" s="1"/>
  <c r="C234" i="17" s="1"/>
  <c r="C235" i="17" s="1"/>
  <c r="C236" i="17" s="1"/>
  <c r="C237" i="17" s="1"/>
  <c r="C238" i="17" s="1"/>
  <c r="C239" i="17" s="1"/>
  <c r="C240" i="17" s="1"/>
  <c r="C241" i="17" s="1"/>
  <c r="C242" i="17" s="1"/>
  <c r="C243" i="17" s="1"/>
  <c r="C244" i="17" s="1"/>
  <c r="C245" i="17" s="1"/>
  <c r="C246" i="17" s="1"/>
  <c r="C247" i="17" s="1"/>
  <c r="C248" i="17" s="1"/>
  <c r="C249" i="17" s="1"/>
  <c r="C250" i="17" s="1"/>
  <c r="C251" i="17" s="1"/>
  <c r="C252" i="17" s="1"/>
  <c r="C253" i="17" s="1"/>
  <c r="C254" i="17" s="1"/>
  <c r="C255" i="17" s="1"/>
  <c r="C256" i="17" s="1"/>
  <c r="C257" i="17" s="1"/>
  <c r="C258" i="17" s="1"/>
  <c r="C259" i="17" s="1"/>
  <c r="C260" i="17" s="1"/>
  <c r="C261" i="17" s="1"/>
  <c r="C262" i="17" s="1"/>
  <c r="C263" i="17" s="1"/>
  <c r="B14" i="17"/>
  <c r="B261" i="16"/>
  <c r="F261" i="16" s="1"/>
  <c r="B260" i="16"/>
  <c r="F260" i="16" s="1"/>
  <c r="B259" i="16"/>
  <c r="F259" i="16" s="1"/>
  <c r="B258" i="16"/>
  <c r="F258" i="16" s="1"/>
  <c r="B257" i="16"/>
  <c r="F257" i="16" s="1"/>
  <c r="B256" i="16"/>
  <c r="F256" i="16" s="1"/>
  <c r="B255" i="16"/>
  <c r="F255" i="16" s="1"/>
  <c r="B254" i="16"/>
  <c r="F254" i="16" s="1"/>
  <c r="B253" i="16"/>
  <c r="F253" i="16" s="1"/>
  <c r="B252" i="16"/>
  <c r="F252" i="16" s="1"/>
  <c r="B251" i="16"/>
  <c r="F251" i="16" s="1"/>
  <c r="B250" i="16"/>
  <c r="F250" i="16" s="1"/>
  <c r="B249" i="16"/>
  <c r="F249" i="16" s="1"/>
  <c r="B248" i="16"/>
  <c r="F248" i="16" s="1"/>
  <c r="B247" i="16"/>
  <c r="F247" i="16" s="1"/>
  <c r="B246" i="16"/>
  <c r="F246" i="16" s="1"/>
  <c r="B245" i="16"/>
  <c r="F245" i="16" s="1"/>
  <c r="B244" i="16"/>
  <c r="F244" i="16" s="1"/>
  <c r="B243" i="16"/>
  <c r="F243" i="16" s="1"/>
  <c r="B242" i="16"/>
  <c r="F242" i="16" s="1"/>
  <c r="B241" i="16"/>
  <c r="F241" i="16" s="1"/>
  <c r="B240" i="16"/>
  <c r="F240" i="16" s="1"/>
  <c r="B239" i="16"/>
  <c r="F239" i="16" s="1"/>
  <c r="B238" i="16"/>
  <c r="F238" i="16" s="1"/>
  <c r="B237" i="16"/>
  <c r="F237" i="16" s="1"/>
  <c r="B236" i="16"/>
  <c r="F236" i="16" s="1"/>
  <c r="B235" i="16"/>
  <c r="F235" i="16" s="1"/>
  <c r="B234" i="16"/>
  <c r="F234" i="16" s="1"/>
  <c r="B233" i="16"/>
  <c r="F233" i="16" s="1"/>
  <c r="B232" i="16"/>
  <c r="F232" i="16" s="1"/>
  <c r="B231" i="16"/>
  <c r="F231" i="16" s="1"/>
  <c r="B230" i="16"/>
  <c r="F230" i="16" s="1"/>
  <c r="B229" i="16"/>
  <c r="F229" i="16" s="1"/>
  <c r="B228" i="16"/>
  <c r="F228" i="16" s="1"/>
  <c r="B227" i="16"/>
  <c r="F227" i="16" s="1"/>
  <c r="B226" i="16"/>
  <c r="F226" i="16" s="1"/>
  <c r="B225" i="16"/>
  <c r="F225" i="16" s="1"/>
  <c r="B224" i="16"/>
  <c r="F224" i="16" s="1"/>
  <c r="B223" i="16"/>
  <c r="F223" i="16" s="1"/>
  <c r="B222" i="16"/>
  <c r="F222" i="16" s="1"/>
  <c r="B221" i="16"/>
  <c r="F221" i="16" s="1"/>
  <c r="B220" i="16"/>
  <c r="F220" i="16" s="1"/>
  <c r="B219" i="16"/>
  <c r="F219" i="16" s="1"/>
  <c r="B218" i="16"/>
  <c r="F218" i="16" s="1"/>
  <c r="B217" i="16"/>
  <c r="F217" i="16" s="1"/>
  <c r="B216" i="16"/>
  <c r="F216" i="16" s="1"/>
  <c r="B215" i="16"/>
  <c r="F215" i="16" s="1"/>
  <c r="B214" i="16"/>
  <c r="F214" i="16" s="1"/>
  <c r="B213" i="16"/>
  <c r="F213" i="16" s="1"/>
  <c r="B212" i="16"/>
  <c r="F212" i="16" s="1"/>
  <c r="B211" i="16"/>
  <c r="F211" i="16" s="1"/>
  <c r="B210" i="16"/>
  <c r="F210" i="16" s="1"/>
  <c r="B209" i="16"/>
  <c r="F209" i="16" s="1"/>
  <c r="B208" i="16"/>
  <c r="F208" i="16" s="1"/>
  <c r="B207" i="16"/>
  <c r="F207" i="16" s="1"/>
  <c r="B206" i="16"/>
  <c r="F206" i="16" s="1"/>
  <c r="B205" i="16"/>
  <c r="F205" i="16" s="1"/>
  <c r="B204" i="16"/>
  <c r="F204" i="16" s="1"/>
  <c r="B203" i="16"/>
  <c r="F203" i="16" s="1"/>
  <c r="B202" i="16"/>
  <c r="F202" i="16" s="1"/>
  <c r="B201" i="16"/>
  <c r="F201" i="16" s="1"/>
  <c r="B200" i="16"/>
  <c r="F200" i="16" s="1"/>
  <c r="B199" i="16"/>
  <c r="F199" i="16" s="1"/>
  <c r="B198" i="16"/>
  <c r="F198" i="16" s="1"/>
  <c r="B197" i="16"/>
  <c r="F197" i="16" s="1"/>
  <c r="B196" i="16"/>
  <c r="F196" i="16" s="1"/>
  <c r="B195" i="16"/>
  <c r="F195" i="16" s="1"/>
  <c r="B194" i="16"/>
  <c r="F194" i="16" s="1"/>
  <c r="B193" i="16"/>
  <c r="F193" i="16" s="1"/>
  <c r="B192" i="16"/>
  <c r="F192" i="16" s="1"/>
  <c r="B191" i="16"/>
  <c r="F191" i="16" s="1"/>
  <c r="B190" i="16"/>
  <c r="F190" i="16" s="1"/>
  <c r="B189" i="16"/>
  <c r="F189" i="16" s="1"/>
  <c r="B188" i="16"/>
  <c r="F188" i="16" s="1"/>
  <c r="B187" i="16"/>
  <c r="F187" i="16" s="1"/>
  <c r="B186" i="16"/>
  <c r="F186" i="16" s="1"/>
  <c r="B185" i="16"/>
  <c r="F185" i="16" s="1"/>
  <c r="B184" i="16"/>
  <c r="F184" i="16" s="1"/>
  <c r="B183" i="16"/>
  <c r="F183" i="16" s="1"/>
  <c r="B182" i="16"/>
  <c r="F182" i="16" s="1"/>
  <c r="B181" i="16"/>
  <c r="F181" i="16" s="1"/>
  <c r="B180" i="16"/>
  <c r="F180" i="16" s="1"/>
  <c r="B179" i="16"/>
  <c r="F179" i="16" s="1"/>
  <c r="B178" i="16"/>
  <c r="F178" i="16" s="1"/>
  <c r="B177" i="16"/>
  <c r="F177" i="16" s="1"/>
  <c r="B176" i="16"/>
  <c r="F176" i="16" s="1"/>
  <c r="B175" i="16"/>
  <c r="F175" i="16" s="1"/>
  <c r="B174" i="16"/>
  <c r="F174" i="16" s="1"/>
  <c r="B173" i="16"/>
  <c r="F173" i="16" s="1"/>
  <c r="B172" i="16"/>
  <c r="F172" i="16" s="1"/>
  <c r="B171" i="16"/>
  <c r="F171" i="16" s="1"/>
  <c r="B170" i="16"/>
  <c r="F170" i="16" s="1"/>
  <c r="B169" i="16"/>
  <c r="F169" i="16" s="1"/>
  <c r="B168" i="16"/>
  <c r="F168" i="16" s="1"/>
  <c r="B167" i="16"/>
  <c r="F167" i="16" s="1"/>
  <c r="B166" i="16"/>
  <c r="F166" i="16" s="1"/>
  <c r="B165" i="16"/>
  <c r="F165" i="16" s="1"/>
  <c r="B164" i="16"/>
  <c r="F164" i="16" s="1"/>
  <c r="B163" i="16"/>
  <c r="F163" i="16" s="1"/>
  <c r="B162" i="16"/>
  <c r="F162" i="16" s="1"/>
  <c r="B161" i="16"/>
  <c r="F161" i="16" s="1"/>
  <c r="B160" i="16"/>
  <c r="F160" i="16" s="1"/>
  <c r="B159" i="16"/>
  <c r="F159" i="16" s="1"/>
  <c r="B158" i="16"/>
  <c r="F158" i="16" s="1"/>
  <c r="B157" i="16"/>
  <c r="F157" i="16" s="1"/>
  <c r="B156" i="16"/>
  <c r="F156" i="16" s="1"/>
  <c r="B155" i="16"/>
  <c r="F155" i="16" s="1"/>
  <c r="B154" i="16"/>
  <c r="F154" i="16" s="1"/>
  <c r="B153" i="16"/>
  <c r="F153" i="16" s="1"/>
  <c r="B152" i="16"/>
  <c r="F152" i="16" s="1"/>
  <c r="B151" i="16"/>
  <c r="F151" i="16" s="1"/>
  <c r="B150" i="16"/>
  <c r="F150" i="16" s="1"/>
  <c r="B149" i="16"/>
  <c r="F149" i="16" s="1"/>
  <c r="B148" i="16"/>
  <c r="F148" i="16" s="1"/>
  <c r="B147" i="16"/>
  <c r="F147" i="16" s="1"/>
  <c r="B146" i="16"/>
  <c r="F146" i="16" s="1"/>
  <c r="B145" i="16"/>
  <c r="F145" i="16" s="1"/>
  <c r="B144" i="16"/>
  <c r="F144" i="16" s="1"/>
  <c r="B143" i="16"/>
  <c r="F143" i="16" s="1"/>
  <c r="B142" i="16"/>
  <c r="F142" i="16" s="1"/>
  <c r="B141" i="16"/>
  <c r="F141" i="16" s="1"/>
  <c r="B140" i="16"/>
  <c r="F140" i="16" s="1"/>
  <c r="B139" i="16"/>
  <c r="F139" i="16" s="1"/>
  <c r="B138" i="16"/>
  <c r="F138" i="16" s="1"/>
  <c r="B137" i="16"/>
  <c r="F137" i="16" s="1"/>
  <c r="B136" i="16"/>
  <c r="F136" i="16" s="1"/>
  <c r="B135" i="16"/>
  <c r="F135" i="16" s="1"/>
  <c r="B134" i="16"/>
  <c r="F134" i="16" s="1"/>
  <c r="B133" i="16"/>
  <c r="F133" i="16" s="1"/>
  <c r="B132" i="16"/>
  <c r="F132" i="16" s="1"/>
  <c r="B131" i="16"/>
  <c r="F131" i="16" s="1"/>
  <c r="B130" i="16"/>
  <c r="F130" i="16" s="1"/>
  <c r="B129" i="16"/>
  <c r="F129" i="16" s="1"/>
  <c r="B128" i="16"/>
  <c r="F128" i="16" s="1"/>
  <c r="B127" i="16"/>
  <c r="F127" i="16" s="1"/>
  <c r="B126" i="16"/>
  <c r="F126" i="16" s="1"/>
  <c r="B125" i="16"/>
  <c r="F125" i="16" s="1"/>
  <c r="B124" i="16"/>
  <c r="F124" i="16" s="1"/>
  <c r="B123" i="16"/>
  <c r="F123" i="16" s="1"/>
  <c r="B122" i="16"/>
  <c r="F122" i="16" s="1"/>
  <c r="B121" i="16"/>
  <c r="F121" i="16" s="1"/>
  <c r="B120" i="16"/>
  <c r="F120" i="16" s="1"/>
  <c r="B119" i="16"/>
  <c r="F119" i="16" s="1"/>
  <c r="B118" i="16"/>
  <c r="F118" i="16" s="1"/>
  <c r="B117" i="16"/>
  <c r="F117" i="16" s="1"/>
  <c r="B116" i="16"/>
  <c r="F116" i="16" s="1"/>
  <c r="B115" i="16"/>
  <c r="F115" i="16" s="1"/>
  <c r="B114" i="16"/>
  <c r="F114" i="16" s="1"/>
  <c r="B113" i="16"/>
  <c r="F113" i="16" s="1"/>
  <c r="B112" i="16"/>
  <c r="F112" i="16" s="1"/>
  <c r="B111" i="16"/>
  <c r="F111" i="16" s="1"/>
  <c r="B110" i="16"/>
  <c r="F110" i="16" s="1"/>
  <c r="B109" i="16"/>
  <c r="F109" i="16" s="1"/>
  <c r="B108" i="16"/>
  <c r="F108" i="16" s="1"/>
  <c r="B107" i="16"/>
  <c r="F107" i="16" s="1"/>
  <c r="B106" i="16"/>
  <c r="F106" i="16" s="1"/>
  <c r="B105" i="16"/>
  <c r="F105" i="16" s="1"/>
  <c r="B104" i="16"/>
  <c r="F104" i="16" s="1"/>
  <c r="B103" i="16"/>
  <c r="F103" i="16" s="1"/>
  <c r="B102" i="16"/>
  <c r="F102" i="16" s="1"/>
  <c r="B101" i="16"/>
  <c r="F101" i="16" s="1"/>
  <c r="B100" i="16"/>
  <c r="F100" i="16" s="1"/>
  <c r="B99" i="16"/>
  <c r="F99" i="16" s="1"/>
  <c r="B98" i="16"/>
  <c r="F98" i="16" s="1"/>
  <c r="B97" i="16"/>
  <c r="F97" i="16" s="1"/>
  <c r="B96" i="16"/>
  <c r="F96" i="16" s="1"/>
  <c r="B95" i="16"/>
  <c r="F95" i="16" s="1"/>
  <c r="B94" i="16"/>
  <c r="F94" i="16" s="1"/>
  <c r="B93" i="16"/>
  <c r="F93" i="16" s="1"/>
  <c r="B92" i="16"/>
  <c r="F92" i="16" s="1"/>
  <c r="B91" i="16"/>
  <c r="F91" i="16" s="1"/>
  <c r="B90" i="16"/>
  <c r="F90" i="16" s="1"/>
  <c r="B89" i="16"/>
  <c r="F89" i="16" s="1"/>
  <c r="B88" i="16"/>
  <c r="F88" i="16" s="1"/>
  <c r="B87" i="16"/>
  <c r="F87" i="16" s="1"/>
  <c r="B86" i="16"/>
  <c r="F86" i="16" s="1"/>
  <c r="B85" i="16"/>
  <c r="F85" i="16" s="1"/>
  <c r="B84" i="16"/>
  <c r="F84" i="16" s="1"/>
  <c r="B83" i="16"/>
  <c r="F83" i="16" s="1"/>
  <c r="B82" i="16"/>
  <c r="F82" i="16" s="1"/>
  <c r="B81" i="16"/>
  <c r="F81" i="16" s="1"/>
  <c r="B80" i="16"/>
  <c r="F80" i="16" s="1"/>
  <c r="B79" i="16"/>
  <c r="F79" i="16" s="1"/>
  <c r="B78" i="16"/>
  <c r="F78" i="16" s="1"/>
  <c r="B77" i="16"/>
  <c r="F77" i="16" s="1"/>
  <c r="B76" i="16"/>
  <c r="F76" i="16" s="1"/>
  <c r="B75" i="16"/>
  <c r="F75" i="16" s="1"/>
  <c r="B74" i="16"/>
  <c r="F74" i="16" s="1"/>
  <c r="B73" i="16"/>
  <c r="F73" i="16" s="1"/>
  <c r="B72" i="16"/>
  <c r="F72" i="16" s="1"/>
  <c r="B71" i="16"/>
  <c r="F71" i="16" s="1"/>
  <c r="B70" i="16"/>
  <c r="F70" i="16" s="1"/>
  <c r="B69" i="16"/>
  <c r="F69" i="16" s="1"/>
  <c r="B68" i="16"/>
  <c r="F68" i="16" s="1"/>
  <c r="B67" i="16"/>
  <c r="F67" i="16" s="1"/>
  <c r="B66" i="16"/>
  <c r="F66" i="16" s="1"/>
  <c r="B65" i="16"/>
  <c r="F65" i="16" s="1"/>
  <c r="B64" i="16"/>
  <c r="F64" i="16" s="1"/>
  <c r="B63" i="16"/>
  <c r="F63" i="16" s="1"/>
  <c r="B62" i="16"/>
  <c r="F62" i="16" s="1"/>
  <c r="B61" i="16"/>
  <c r="F61" i="16" s="1"/>
  <c r="B60" i="16"/>
  <c r="F60" i="16" s="1"/>
  <c r="B59" i="16"/>
  <c r="F59" i="16" s="1"/>
  <c r="B58" i="16"/>
  <c r="F58" i="16" s="1"/>
  <c r="B57" i="16"/>
  <c r="F57" i="16" s="1"/>
  <c r="B56" i="16"/>
  <c r="F56" i="16" s="1"/>
  <c r="B55" i="16"/>
  <c r="F55" i="16" s="1"/>
  <c r="B54" i="16"/>
  <c r="F54" i="16" s="1"/>
  <c r="B53" i="16"/>
  <c r="F53" i="16" s="1"/>
  <c r="B52" i="16"/>
  <c r="F52" i="16" s="1"/>
  <c r="B51" i="16"/>
  <c r="F51" i="16" s="1"/>
  <c r="B50" i="16"/>
  <c r="F50" i="16" s="1"/>
  <c r="B49" i="16"/>
  <c r="F49" i="16" s="1"/>
  <c r="B48" i="16"/>
  <c r="F48" i="16" s="1"/>
  <c r="B47" i="16"/>
  <c r="F47" i="16" s="1"/>
  <c r="B46" i="16"/>
  <c r="F46" i="16" s="1"/>
  <c r="B45" i="16"/>
  <c r="F45" i="16" s="1"/>
  <c r="B44" i="16"/>
  <c r="F44" i="16" s="1"/>
  <c r="B43" i="16"/>
  <c r="F43" i="16" s="1"/>
  <c r="B42" i="16"/>
  <c r="F42" i="16" s="1"/>
  <c r="B41" i="16"/>
  <c r="F41" i="16" s="1"/>
  <c r="B40" i="16"/>
  <c r="F40" i="16" s="1"/>
  <c r="B39" i="16"/>
  <c r="F39" i="16" s="1"/>
  <c r="B38" i="16"/>
  <c r="F38" i="16" s="1"/>
  <c r="B37" i="16"/>
  <c r="F37" i="16" s="1"/>
  <c r="B36" i="16"/>
  <c r="F36" i="16" s="1"/>
  <c r="B35" i="16"/>
  <c r="F35" i="16" s="1"/>
  <c r="B34" i="16"/>
  <c r="F34" i="16" s="1"/>
  <c r="B33" i="16"/>
  <c r="F33" i="16" s="1"/>
  <c r="B32" i="16"/>
  <c r="F32" i="16" s="1"/>
  <c r="B31" i="16"/>
  <c r="F31" i="16" s="1"/>
  <c r="B30" i="16"/>
  <c r="F30" i="16" s="1"/>
  <c r="B29" i="16"/>
  <c r="F29" i="16" s="1"/>
  <c r="B28" i="16"/>
  <c r="F28" i="16" s="1"/>
  <c r="B27" i="16"/>
  <c r="F27" i="16" s="1"/>
  <c r="B26" i="16"/>
  <c r="F26" i="16" s="1"/>
  <c r="B25" i="16"/>
  <c r="F25" i="16" s="1"/>
  <c r="B24" i="16"/>
  <c r="F24" i="16" s="1"/>
  <c r="B23" i="16"/>
  <c r="F23" i="16" s="1"/>
  <c r="B22" i="16"/>
  <c r="F22" i="16" s="1"/>
  <c r="B21" i="16"/>
  <c r="F21" i="16" s="1"/>
  <c r="B20" i="16"/>
  <c r="F20" i="16" s="1"/>
  <c r="B19" i="16"/>
  <c r="F19" i="16" s="1"/>
  <c r="B18" i="16"/>
  <c r="F18" i="16" s="1"/>
  <c r="B17" i="16"/>
  <c r="F17" i="16" s="1"/>
  <c r="B16" i="16"/>
  <c r="F16" i="16" s="1"/>
  <c r="B15" i="16"/>
  <c r="F15" i="16" s="1"/>
  <c r="B14" i="16"/>
  <c r="F14" i="16" s="1"/>
  <c r="A14" i="16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B13" i="16"/>
  <c r="F13" i="16" s="1"/>
  <c r="A13" i="16"/>
  <c r="B12" i="16"/>
  <c r="F12" i="16" s="1"/>
  <c r="A12" i="16"/>
  <c r="C7" i="16"/>
  <c r="C22" i="14"/>
  <c r="D22" i="14" s="1"/>
  <c r="E22" i="14" s="1"/>
  <c r="C21" i="14"/>
  <c r="D21" i="14" s="1"/>
  <c r="E21" i="14" s="1"/>
  <c r="C20" i="14"/>
  <c r="D20" i="14" s="1"/>
  <c r="E20" i="14" s="1"/>
  <c r="C19" i="14"/>
  <c r="D19" i="14" s="1"/>
  <c r="E19" i="14" s="1"/>
  <c r="C18" i="14"/>
  <c r="D18" i="14" s="1"/>
  <c r="E18" i="14" s="1"/>
  <c r="C17" i="14"/>
  <c r="D17" i="14" s="1"/>
  <c r="E17" i="14" s="1"/>
  <c r="C16" i="14"/>
  <c r="D16" i="14" s="1"/>
  <c r="E16" i="14" s="1"/>
  <c r="C15" i="14"/>
  <c r="D15" i="14" s="1"/>
  <c r="E15" i="14" s="1"/>
  <c r="C14" i="14"/>
  <c r="D14" i="14" s="1"/>
  <c r="E14" i="14" s="1"/>
  <c r="C13" i="14"/>
  <c r="D13" i="14" s="1"/>
  <c r="E13" i="14" s="1"/>
  <c r="C12" i="14"/>
  <c r="D12" i="14" s="1"/>
  <c r="E12" i="14" s="1"/>
  <c r="C11" i="14"/>
  <c r="D11" i="14" s="1"/>
  <c r="E11" i="14" s="1"/>
  <c r="C10" i="14"/>
  <c r="D10" i="14" s="1"/>
  <c r="E10" i="14" s="1"/>
  <c r="C9" i="14"/>
  <c r="D9" i="14" s="1"/>
  <c r="E9" i="14" s="1"/>
  <c r="C8" i="14"/>
  <c r="D8" i="14" s="1"/>
  <c r="E8" i="14" s="1"/>
  <c r="C7" i="14"/>
  <c r="D7" i="14" s="1"/>
  <c r="E7" i="14" s="1"/>
  <c r="C6" i="14"/>
  <c r="D6" i="14" s="1"/>
  <c r="E6" i="14" s="1"/>
  <c r="C5" i="14"/>
  <c r="D5" i="14" s="1"/>
  <c r="B262" i="13"/>
  <c r="C262" i="13" s="1"/>
  <c r="B261" i="13"/>
  <c r="C261" i="13" s="1"/>
  <c r="B260" i="13"/>
  <c r="C260" i="13" s="1"/>
  <c r="B259" i="13"/>
  <c r="C259" i="13" s="1"/>
  <c r="B258" i="13"/>
  <c r="C258" i="13" s="1"/>
  <c r="B257" i="13"/>
  <c r="C257" i="13" s="1"/>
  <c r="B256" i="13"/>
  <c r="C256" i="13" s="1"/>
  <c r="B255" i="13"/>
  <c r="C255" i="13" s="1"/>
  <c r="B254" i="13"/>
  <c r="C254" i="13" s="1"/>
  <c r="B253" i="13"/>
  <c r="C253" i="13" s="1"/>
  <c r="B252" i="13"/>
  <c r="C252" i="13" s="1"/>
  <c r="B251" i="13"/>
  <c r="C251" i="13" s="1"/>
  <c r="B250" i="13"/>
  <c r="C250" i="13" s="1"/>
  <c r="B249" i="13"/>
  <c r="C249" i="13" s="1"/>
  <c r="B248" i="13"/>
  <c r="C248" i="13" s="1"/>
  <c r="B247" i="13"/>
  <c r="C247" i="13" s="1"/>
  <c r="B246" i="13"/>
  <c r="C246" i="13" s="1"/>
  <c r="B245" i="13"/>
  <c r="C245" i="13" s="1"/>
  <c r="B244" i="13"/>
  <c r="C244" i="13" s="1"/>
  <c r="B243" i="13"/>
  <c r="C243" i="13" s="1"/>
  <c r="B242" i="13"/>
  <c r="C242" i="13" s="1"/>
  <c r="B241" i="13"/>
  <c r="C241" i="13" s="1"/>
  <c r="B240" i="13"/>
  <c r="C240" i="13" s="1"/>
  <c r="B239" i="13"/>
  <c r="C239" i="13" s="1"/>
  <c r="B238" i="13"/>
  <c r="C238" i="13" s="1"/>
  <c r="B237" i="13"/>
  <c r="C237" i="13" s="1"/>
  <c r="B236" i="13"/>
  <c r="C236" i="13" s="1"/>
  <c r="B235" i="13"/>
  <c r="C235" i="13" s="1"/>
  <c r="B234" i="13"/>
  <c r="C234" i="13" s="1"/>
  <c r="B233" i="13"/>
  <c r="C233" i="13" s="1"/>
  <c r="B232" i="13"/>
  <c r="C232" i="13" s="1"/>
  <c r="B231" i="13"/>
  <c r="C231" i="13" s="1"/>
  <c r="B230" i="13"/>
  <c r="C230" i="13" s="1"/>
  <c r="B229" i="13"/>
  <c r="C229" i="13" s="1"/>
  <c r="B228" i="13"/>
  <c r="C228" i="13" s="1"/>
  <c r="B227" i="13"/>
  <c r="C227" i="13" s="1"/>
  <c r="B226" i="13"/>
  <c r="C226" i="13" s="1"/>
  <c r="B225" i="13"/>
  <c r="C225" i="13" s="1"/>
  <c r="B224" i="13"/>
  <c r="C224" i="13" s="1"/>
  <c r="B223" i="13"/>
  <c r="C223" i="13" s="1"/>
  <c r="B222" i="13"/>
  <c r="C222" i="13" s="1"/>
  <c r="B221" i="13"/>
  <c r="C221" i="13" s="1"/>
  <c r="B220" i="13"/>
  <c r="C220" i="13" s="1"/>
  <c r="B219" i="13"/>
  <c r="C219" i="13" s="1"/>
  <c r="B218" i="13"/>
  <c r="C218" i="13" s="1"/>
  <c r="B217" i="13"/>
  <c r="C217" i="13" s="1"/>
  <c r="B216" i="13"/>
  <c r="C216" i="13" s="1"/>
  <c r="B215" i="13"/>
  <c r="C215" i="13" s="1"/>
  <c r="B214" i="13"/>
  <c r="C214" i="13" s="1"/>
  <c r="B213" i="13"/>
  <c r="C213" i="13" s="1"/>
  <c r="B212" i="13"/>
  <c r="C212" i="13" s="1"/>
  <c r="B211" i="13"/>
  <c r="C211" i="13" s="1"/>
  <c r="B210" i="13"/>
  <c r="C210" i="13" s="1"/>
  <c r="B209" i="13"/>
  <c r="C209" i="13" s="1"/>
  <c r="B208" i="13"/>
  <c r="C208" i="13" s="1"/>
  <c r="B207" i="13"/>
  <c r="C207" i="13" s="1"/>
  <c r="B206" i="13"/>
  <c r="C206" i="13" s="1"/>
  <c r="B205" i="13"/>
  <c r="C205" i="13" s="1"/>
  <c r="B204" i="13"/>
  <c r="C204" i="13" s="1"/>
  <c r="B203" i="13"/>
  <c r="C203" i="13" s="1"/>
  <c r="B202" i="13"/>
  <c r="C202" i="13" s="1"/>
  <c r="B201" i="13"/>
  <c r="C201" i="13" s="1"/>
  <c r="B200" i="13"/>
  <c r="C200" i="13" s="1"/>
  <c r="B199" i="13"/>
  <c r="C199" i="13" s="1"/>
  <c r="B198" i="13"/>
  <c r="C198" i="13" s="1"/>
  <c r="B197" i="13"/>
  <c r="C197" i="13" s="1"/>
  <c r="B196" i="13"/>
  <c r="C196" i="13" s="1"/>
  <c r="B195" i="13"/>
  <c r="C195" i="13" s="1"/>
  <c r="B194" i="13"/>
  <c r="C194" i="13" s="1"/>
  <c r="B193" i="13"/>
  <c r="C193" i="13" s="1"/>
  <c r="B192" i="13"/>
  <c r="C192" i="13" s="1"/>
  <c r="B191" i="13"/>
  <c r="C191" i="13" s="1"/>
  <c r="B190" i="13"/>
  <c r="C190" i="13" s="1"/>
  <c r="B189" i="13"/>
  <c r="C189" i="13" s="1"/>
  <c r="B188" i="13"/>
  <c r="C188" i="13" s="1"/>
  <c r="B187" i="13"/>
  <c r="C187" i="13" s="1"/>
  <c r="B186" i="13"/>
  <c r="C186" i="13" s="1"/>
  <c r="B185" i="13"/>
  <c r="C185" i="13" s="1"/>
  <c r="B184" i="13"/>
  <c r="C184" i="13" s="1"/>
  <c r="B183" i="13"/>
  <c r="C183" i="13" s="1"/>
  <c r="B182" i="13"/>
  <c r="C182" i="13" s="1"/>
  <c r="B181" i="13"/>
  <c r="C181" i="13" s="1"/>
  <c r="B180" i="13"/>
  <c r="C180" i="13" s="1"/>
  <c r="B179" i="13"/>
  <c r="C179" i="13" s="1"/>
  <c r="B178" i="13"/>
  <c r="C178" i="13" s="1"/>
  <c r="B177" i="13"/>
  <c r="C177" i="13" s="1"/>
  <c r="B176" i="13"/>
  <c r="C176" i="13" s="1"/>
  <c r="B175" i="13"/>
  <c r="C175" i="13" s="1"/>
  <c r="B174" i="13"/>
  <c r="C174" i="13" s="1"/>
  <c r="B173" i="13"/>
  <c r="C173" i="13" s="1"/>
  <c r="B172" i="13"/>
  <c r="C172" i="13" s="1"/>
  <c r="B171" i="13"/>
  <c r="C171" i="13" s="1"/>
  <c r="B170" i="13"/>
  <c r="C170" i="13" s="1"/>
  <c r="B169" i="13"/>
  <c r="C169" i="13" s="1"/>
  <c r="B168" i="13"/>
  <c r="C168" i="13" s="1"/>
  <c r="B167" i="13"/>
  <c r="C167" i="13" s="1"/>
  <c r="B166" i="13"/>
  <c r="C166" i="13" s="1"/>
  <c r="B165" i="13"/>
  <c r="C165" i="13" s="1"/>
  <c r="B164" i="13"/>
  <c r="C164" i="13" s="1"/>
  <c r="B163" i="13"/>
  <c r="C163" i="13" s="1"/>
  <c r="B162" i="13"/>
  <c r="C162" i="13" s="1"/>
  <c r="B161" i="13"/>
  <c r="C161" i="13" s="1"/>
  <c r="B160" i="13"/>
  <c r="C160" i="13" s="1"/>
  <c r="B159" i="13"/>
  <c r="C159" i="13" s="1"/>
  <c r="B158" i="13"/>
  <c r="C158" i="13" s="1"/>
  <c r="B157" i="13"/>
  <c r="C157" i="13" s="1"/>
  <c r="B156" i="13"/>
  <c r="C156" i="13" s="1"/>
  <c r="B155" i="13"/>
  <c r="C155" i="13" s="1"/>
  <c r="B154" i="13"/>
  <c r="C154" i="13" s="1"/>
  <c r="B153" i="13"/>
  <c r="C153" i="13" s="1"/>
  <c r="B152" i="13"/>
  <c r="C152" i="13" s="1"/>
  <c r="B151" i="13"/>
  <c r="C151" i="13" s="1"/>
  <c r="B150" i="13"/>
  <c r="C150" i="13" s="1"/>
  <c r="B149" i="13"/>
  <c r="C149" i="13" s="1"/>
  <c r="B148" i="13"/>
  <c r="C148" i="13" s="1"/>
  <c r="B147" i="13"/>
  <c r="C147" i="13" s="1"/>
  <c r="B146" i="13"/>
  <c r="C146" i="13" s="1"/>
  <c r="B145" i="13"/>
  <c r="C145" i="13" s="1"/>
  <c r="B144" i="13"/>
  <c r="C144" i="13" s="1"/>
  <c r="B143" i="13"/>
  <c r="C143" i="13" s="1"/>
  <c r="B142" i="13"/>
  <c r="C142" i="13" s="1"/>
  <c r="B141" i="13"/>
  <c r="C141" i="13" s="1"/>
  <c r="B140" i="13"/>
  <c r="C140" i="13" s="1"/>
  <c r="B139" i="13"/>
  <c r="C139" i="13" s="1"/>
  <c r="B138" i="13"/>
  <c r="C138" i="13" s="1"/>
  <c r="B137" i="13"/>
  <c r="C137" i="13" s="1"/>
  <c r="B136" i="13"/>
  <c r="C136" i="13" s="1"/>
  <c r="B135" i="13"/>
  <c r="C135" i="13" s="1"/>
  <c r="B134" i="13"/>
  <c r="C134" i="13" s="1"/>
  <c r="B133" i="13"/>
  <c r="C133" i="13" s="1"/>
  <c r="B132" i="13"/>
  <c r="C132" i="13" s="1"/>
  <c r="B131" i="13"/>
  <c r="C131" i="13" s="1"/>
  <c r="B130" i="13"/>
  <c r="C130" i="13" s="1"/>
  <c r="B129" i="13"/>
  <c r="C129" i="13" s="1"/>
  <c r="B128" i="13"/>
  <c r="C128" i="13" s="1"/>
  <c r="B127" i="13"/>
  <c r="C127" i="13" s="1"/>
  <c r="B126" i="13"/>
  <c r="C126" i="13" s="1"/>
  <c r="B125" i="13"/>
  <c r="C125" i="13" s="1"/>
  <c r="B124" i="13"/>
  <c r="C124" i="13" s="1"/>
  <c r="B123" i="13"/>
  <c r="C123" i="13" s="1"/>
  <c r="B122" i="13"/>
  <c r="C122" i="13" s="1"/>
  <c r="B121" i="13"/>
  <c r="C121" i="13" s="1"/>
  <c r="B120" i="13"/>
  <c r="C120" i="13" s="1"/>
  <c r="B119" i="13"/>
  <c r="C119" i="13" s="1"/>
  <c r="B118" i="13"/>
  <c r="C118" i="13" s="1"/>
  <c r="B117" i="13"/>
  <c r="C117" i="13" s="1"/>
  <c r="B116" i="13"/>
  <c r="C116" i="13" s="1"/>
  <c r="B115" i="13"/>
  <c r="C115" i="13" s="1"/>
  <c r="B114" i="13"/>
  <c r="C114" i="13" s="1"/>
  <c r="B113" i="13"/>
  <c r="C113" i="13" s="1"/>
  <c r="B112" i="13"/>
  <c r="C112" i="13" s="1"/>
  <c r="B111" i="13"/>
  <c r="C111" i="13" s="1"/>
  <c r="B110" i="13"/>
  <c r="C110" i="13" s="1"/>
  <c r="B109" i="13"/>
  <c r="C109" i="13" s="1"/>
  <c r="B108" i="13"/>
  <c r="C108" i="13" s="1"/>
  <c r="B107" i="13"/>
  <c r="C107" i="13" s="1"/>
  <c r="B106" i="13"/>
  <c r="C106" i="13" s="1"/>
  <c r="B105" i="13"/>
  <c r="C105" i="13" s="1"/>
  <c r="B104" i="13"/>
  <c r="C104" i="13" s="1"/>
  <c r="B103" i="13"/>
  <c r="C103" i="13" s="1"/>
  <c r="B102" i="13"/>
  <c r="C102" i="13" s="1"/>
  <c r="B101" i="13"/>
  <c r="C101" i="13" s="1"/>
  <c r="B100" i="13"/>
  <c r="C100" i="13" s="1"/>
  <c r="B99" i="13"/>
  <c r="C99" i="13" s="1"/>
  <c r="B98" i="13"/>
  <c r="C98" i="13" s="1"/>
  <c r="B97" i="13"/>
  <c r="C97" i="13" s="1"/>
  <c r="B96" i="13"/>
  <c r="C96" i="13" s="1"/>
  <c r="B95" i="13"/>
  <c r="C95" i="13" s="1"/>
  <c r="B94" i="13"/>
  <c r="C94" i="13" s="1"/>
  <c r="B93" i="13"/>
  <c r="C93" i="13" s="1"/>
  <c r="B92" i="13"/>
  <c r="C92" i="13" s="1"/>
  <c r="B91" i="13"/>
  <c r="C91" i="13" s="1"/>
  <c r="B90" i="13"/>
  <c r="C90" i="13" s="1"/>
  <c r="B89" i="13"/>
  <c r="C89" i="13" s="1"/>
  <c r="B88" i="13"/>
  <c r="C88" i="13" s="1"/>
  <c r="B87" i="13"/>
  <c r="C87" i="13" s="1"/>
  <c r="B86" i="13"/>
  <c r="C86" i="13" s="1"/>
  <c r="B85" i="13"/>
  <c r="C85" i="13" s="1"/>
  <c r="B84" i="13"/>
  <c r="C84" i="13" s="1"/>
  <c r="B83" i="13"/>
  <c r="C83" i="13" s="1"/>
  <c r="B82" i="13"/>
  <c r="C82" i="13" s="1"/>
  <c r="B81" i="13"/>
  <c r="C81" i="13" s="1"/>
  <c r="B80" i="13"/>
  <c r="C80" i="13" s="1"/>
  <c r="B79" i="13"/>
  <c r="C79" i="13" s="1"/>
  <c r="B78" i="13"/>
  <c r="C78" i="13" s="1"/>
  <c r="B77" i="13"/>
  <c r="C77" i="13" s="1"/>
  <c r="B76" i="13"/>
  <c r="C76" i="13" s="1"/>
  <c r="B75" i="13"/>
  <c r="C75" i="13" s="1"/>
  <c r="B74" i="13"/>
  <c r="C74" i="13" s="1"/>
  <c r="B73" i="13"/>
  <c r="C73" i="13" s="1"/>
  <c r="B72" i="13"/>
  <c r="C72" i="13" s="1"/>
  <c r="B71" i="13"/>
  <c r="C71" i="13" s="1"/>
  <c r="B70" i="13"/>
  <c r="C70" i="13" s="1"/>
  <c r="B69" i="13"/>
  <c r="C69" i="13" s="1"/>
  <c r="B68" i="13"/>
  <c r="C68" i="13" s="1"/>
  <c r="B67" i="13"/>
  <c r="C67" i="13" s="1"/>
  <c r="B66" i="13"/>
  <c r="C66" i="13" s="1"/>
  <c r="B65" i="13"/>
  <c r="C65" i="13" s="1"/>
  <c r="B64" i="13"/>
  <c r="C64" i="13" s="1"/>
  <c r="B63" i="13"/>
  <c r="C63" i="13" s="1"/>
  <c r="B62" i="13"/>
  <c r="C62" i="13" s="1"/>
  <c r="B61" i="13"/>
  <c r="C61" i="13" s="1"/>
  <c r="B60" i="13"/>
  <c r="C60" i="13" s="1"/>
  <c r="B59" i="13"/>
  <c r="C59" i="13" s="1"/>
  <c r="B58" i="13"/>
  <c r="C58" i="13" s="1"/>
  <c r="B57" i="13"/>
  <c r="C57" i="13" s="1"/>
  <c r="B56" i="13"/>
  <c r="C56" i="13" s="1"/>
  <c r="B55" i="13"/>
  <c r="C55" i="13" s="1"/>
  <c r="B54" i="13"/>
  <c r="C54" i="13" s="1"/>
  <c r="B53" i="13"/>
  <c r="C53" i="13" s="1"/>
  <c r="B52" i="13"/>
  <c r="C52" i="13" s="1"/>
  <c r="B51" i="13"/>
  <c r="C51" i="13" s="1"/>
  <c r="B50" i="13"/>
  <c r="C50" i="13" s="1"/>
  <c r="B49" i="13"/>
  <c r="C49" i="13" s="1"/>
  <c r="B48" i="13"/>
  <c r="C48" i="13" s="1"/>
  <c r="B47" i="13"/>
  <c r="C47" i="13" s="1"/>
  <c r="B46" i="13"/>
  <c r="C46" i="13" s="1"/>
  <c r="B45" i="13"/>
  <c r="C45" i="13" s="1"/>
  <c r="B44" i="13"/>
  <c r="C44" i="13" s="1"/>
  <c r="B43" i="13"/>
  <c r="C43" i="13" s="1"/>
  <c r="B42" i="13"/>
  <c r="C42" i="13" s="1"/>
  <c r="B41" i="13"/>
  <c r="C41" i="13" s="1"/>
  <c r="B40" i="13"/>
  <c r="C40" i="13" s="1"/>
  <c r="B39" i="13"/>
  <c r="C39" i="13" s="1"/>
  <c r="B38" i="13"/>
  <c r="C38" i="13" s="1"/>
  <c r="B37" i="13"/>
  <c r="C37" i="13" s="1"/>
  <c r="B36" i="13"/>
  <c r="C36" i="13" s="1"/>
  <c r="B35" i="13"/>
  <c r="C35" i="13" s="1"/>
  <c r="B34" i="13"/>
  <c r="C34" i="13" s="1"/>
  <c r="B33" i="13"/>
  <c r="C33" i="13" s="1"/>
  <c r="B32" i="13"/>
  <c r="C32" i="13" s="1"/>
  <c r="B31" i="13"/>
  <c r="C31" i="13" s="1"/>
  <c r="B30" i="13"/>
  <c r="C30" i="13" s="1"/>
  <c r="B29" i="13"/>
  <c r="C29" i="13" s="1"/>
  <c r="B28" i="13"/>
  <c r="C28" i="13" s="1"/>
  <c r="B27" i="13"/>
  <c r="C27" i="13" s="1"/>
  <c r="B26" i="13"/>
  <c r="C26" i="13" s="1"/>
  <c r="B25" i="13"/>
  <c r="C25" i="13" s="1"/>
  <c r="B24" i="13"/>
  <c r="C24" i="13" s="1"/>
  <c r="B23" i="13"/>
  <c r="C23" i="13" s="1"/>
  <c r="B22" i="13"/>
  <c r="C22" i="13" s="1"/>
  <c r="B21" i="13"/>
  <c r="C21" i="13" s="1"/>
  <c r="B20" i="13"/>
  <c r="C20" i="13" s="1"/>
  <c r="B19" i="13"/>
  <c r="C19" i="13" s="1"/>
  <c r="B18" i="13"/>
  <c r="C18" i="13" s="1"/>
  <c r="B17" i="13"/>
  <c r="C17" i="13" s="1"/>
  <c r="B16" i="13"/>
  <c r="C16" i="13" s="1"/>
  <c r="B15" i="13"/>
  <c r="C15" i="13" s="1"/>
  <c r="B14" i="13"/>
  <c r="C14" i="13" s="1"/>
  <c r="B13" i="13"/>
  <c r="C13" i="13" s="1"/>
  <c r="D13" i="13" s="1"/>
  <c r="E265" i="17" l="1"/>
  <c r="C265" i="17"/>
  <c r="J12" i="16"/>
  <c r="J13" i="16" s="1"/>
  <c r="J14" i="16" s="1"/>
  <c r="J15" i="16" s="1"/>
  <c r="J16" i="16" s="1"/>
  <c r="J17" i="16" s="1"/>
  <c r="J18" i="16" s="1"/>
  <c r="J19" i="16" s="1"/>
  <c r="J20" i="16" s="1"/>
  <c r="J21" i="16" s="1"/>
  <c r="J22" i="16" s="1"/>
  <c r="J23" i="16" s="1"/>
  <c r="J24" i="16" s="1"/>
  <c r="J25" i="16" s="1"/>
  <c r="J26" i="16" s="1"/>
  <c r="J27" i="16" s="1"/>
  <c r="J28" i="16" s="1"/>
  <c r="J29" i="16" s="1"/>
  <c r="J30" i="16" s="1"/>
  <c r="J31" i="16" s="1"/>
  <c r="J32" i="16" s="1"/>
  <c r="J33" i="16" s="1"/>
  <c r="J34" i="16" s="1"/>
  <c r="J35" i="16" s="1"/>
  <c r="J36" i="16" s="1"/>
  <c r="J37" i="16" s="1"/>
  <c r="J38" i="16" s="1"/>
  <c r="J39" i="16" s="1"/>
  <c r="J40" i="16" s="1"/>
  <c r="J41" i="16" s="1"/>
  <c r="J42" i="16" s="1"/>
  <c r="J43" i="16" s="1"/>
  <c r="J44" i="16" s="1"/>
  <c r="J45" i="16" s="1"/>
  <c r="J46" i="16" s="1"/>
  <c r="J47" i="16" s="1"/>
  <c r="J48" i="16" s="1"/>
  <c r="J49" i="16" s="1"/>
  <c r="J50" i="16" s="1"/>
  <c r="J51" i="16" s="1"/>
  <c r="J52" i="16" s="1"/>
  <c r="J53" i="16" s="1"/>
  <c r="J54" i="16" s="1"/>
  <c r="J55" i="16" s="1"/>
  <c r="J56" i="16" s="1"/>
  <c r="J57" i="16" s="1"/>
  <c r="J58" i="16" s="1"/>
  <c r="J59" i="16" s="1"/>
  <c r="J60" i="16" s="1"/>
  <c r="J61" i="16" s="1"/>
  <c r="J62" i="16" s="1"/>
  <c r="J63" i="16" s="1"/>
  <c r="J64" i="16" s="1"/>
  <c r="J65" i="16" s="1"/>
  <c r="J66" i="16" s="1"/>
  <c r="J67" i="16" s="1"/>
  <c r="J68" i="16" s="1"/>
  <c r="J69" i="16" s="1"/>
  <c r="J70" i="16" s="1"/>
  <c r="J71" i="16" s="1"/>
  <c r="J72" i="16" s="1"/>
  <c r="J73" i="16" s="1"/>
  <c r="J74" i="16" s="1"/>
  <c r="J75" i="16" s="1"/>
  <c r="J76" i="16" s="1"/>
  <c r="J77" i="16" s="1"/>
  <c r="J78" i="16" s="1"/>
  <c r="J79" i="16" s="1"/>
  <c r="J80" i="16" s="1"/>
  <c r="J81" i="16" s="1"/>
  <c r="J82" i="16" s="1"/>
  <c r="J83" i="16" s="1"/>
  <c r="J84" i="16" s="1"/>
  <c r="J85" i="16" s="1"/>
  <c r="J86" i="16" s="1"/>
  <c r="J87" i="16" s="1"/>
  <c r="J88" i="16" s="1"/>
  <c r="J89" i="16" s="1"/>
  <c r="J90" i="16" s="1"/>
  <c r="J91" i="16" s="1"/>
  <c r="J92" i="16" s="1"/>
  <c r="J93" i="16" s="1"/>
  <c r="J94" i="16" s="1"/>
  <c r="J95" i="16" s="1"/>
  <c r="J96" i="16" s="1"/>
  <c r="J97" i="16" s="1"/>
  <c r="J98" i="16" s="1"/>
  <c r="J99" i="16" s="1"/>
  <c r="J100" i="16" s="1"/>
  <c r="J101" i="16" s="1"/>
  <c r="J102" i="16" s="1"/>
  <c r="J103" i="16" s="1"/>
  <c r="J104" i="16" s="1"/>
  <c r="J105" i="16" s="1"/>
  <c r="J106" i="16" s="1"/>
  <c r="J107" i="16" s="1"/>
  <c r="J108" i="16" s="1"/>
  <c r="J109" i="16" s="1"/>
  <c r="J110" i="16" s="1"/>
  <c r="J111" i="16" s="1"/>
  <c r="J112" i="16" s="1"/>
  <c r="J113" i="16" s="1"/>
  <c r="J114" i="16" s="1"/>
  <c r="J115" i="16" s="1"/>
  <c r="J116" i="16" s="1"/>
  <c r="J117" i="16" s="1"/>
  <c r="J118" i="16" s="1"/>
  <c r="J119" i="16" s="1"/>
  <c r="J120" i="16" s="1"/>
  <c r="J121" i="16" s="1"/>
  <c r="J122" i="16" s="1"/>
  <c r="J123" i="16" s="1"/>
  <c r="J124" i="16" s="1"/>
  <c r="J125" i="16" s="1"/>
  <c r="J126" i="16" s="1"/>
  <c r="J127" i="16" s="1"/>
  <c r="J128" i="16" s="1"/>
  <c r="J129" i="16" s="1"/>
  <c r="J130" i="16" s="1"/>
  <c r="J131" i="16" s="1"/>
  <c r="J132" i="16" s="1"/>
  <c r="J133" i="16" s="1"/>
  <c r="J134" i="16" s="1"/>
  <c r="J135" i="16" s="1"/>
  <c r="J136" i="16" s="1"/>
  <c r="J137" i="16" s="1"/>
  <c r="J138" i="16" s="1"/>
  <c r="J139" i="16" s="1"/>
  <c r="J140" i="16" s="1"/>
  <c r="J141" i="16" s="1"/>
  <c r="J142" i="16" s="1"/>
  <c r="J143" i="16" s="1"/>
  <c r="J144" i="16" s="1"/>
  <c r="J145" i="16" s="1"/>
  <c r="J146" i="16" s="1"/>
  <c r="J147" i="16" s="1"/>
  <c r="J148" i="16" s="1"/>
  <c r="J149" i="16" s="1"/>
  <c r="J150" i="16" s="1"/>
  <c r="J151" i="16" s="1"/>
  <c r="J152" i="16" s="1"/>
  <c r="J153" i="16" s="1"/>
  <c r="J154" i="16" s="1"/>
  <c r="J155" i="16" s="1"/>
  <c r="J156" i="16" s="1"/>
  <c r="J157" i="16" s="1"/>
  <c r="J158" i="16" s="1"/>
  <c r="J159" i="16" s="1"/>
  <c r="J160" i="16" s="1"/>
  <c r="J161" i="16" s="1"/>
  <c r="J162" i="16" s="1"/>
  <c r="J163" i="16" s="1"/>
  <c r="J164" i="16" s="1"/>
  <c r="J165" i="16" s="1"/>
  <c r="J166" i="16" s="1"/>
  <c r="J167" i="16" s="1"/>
  <c r="J168" i="16" s="1"/>
  <c r="J169" i="16" s="1"/>
  <c r="J170" i="16" s="1"/>
  <c r="J171" i="16" s="1"/>
  <c r="J172" i="16" s="1"/>
  <c r="J173" i="16" s="1"/>
  <c r="J174" i="16" s="1"/>
  <c r="J175" i="16" s="1"/>
  <c r="J176" i="16" s="1"/>
  <c r="J177" i="16" s="1"/>
  <c r="J178" i="16" s="1"/>
  <c r="J179" i="16" s="1"/>
  <c r="J180" i="16" s="1"/>
  <c r="J181" i="16" s="1"/>
  <c r="J182" i="16" s="1"/>
  <c r="J183" i="16" s="1"/>
  <c r="J184" i="16" s="1"/>
  <c r="J185" i="16" s="1"/>
  <c r="J186" i="16" s="1"/>
  <c r="J187" i="16" s="1"/>
  <c r="J188" i="16" s="1"/>
  <c r="J189" i="16" s="1"/>
  <c r="J190" i="16" s="1"/>
  <c r="J191" i="16" s="1"/>
  <c r="J192" i="16" s="1"/>
  <c r="J193" i="16" s="1"/>
  <c r="J194" i="16" s="1"/>
  <c r="J195" i="16" s="1"/>
  <c r="J196" i="16" s="1"/>
  <c r="J197" i="16" s="1"/>
  <c r="J198" i="16" s="1"/>
  <c r="J199" i="16" s="1"/>
  <c r="J200" i="16" s="1"/>
  <c r="J201" i="16" s="1"/>
  <c r="J202" i="16" s="1"/>
  <c r="J203" i="16" s="1"/>
  <c r="J204" i="16" s="1"/>
  <c r="J205" i="16" s="1"/>
  <c r="J206" i="16" s="1"/>
  <c r="J207" i="16" s="1"/>
  <c r="J208" i="16" s="1"/>
  <c r="J209" i="16" s="1"/>
  <c r="J210" i="16" s="1"/>
  <c r="J211" i="16" s="1"/>
  <c r="J212" i="16" s="1"/>
  <c r="J213" i="16" s="1"/>
  <c r="J214" i="16" s="1"/>
  <c r="J215" i="16" s="1"/>
  <c r="J216" i="16" s="1"/>
  <c r="J217" i="16" s="1"/>
  <c r="J218" i="16" s="1"/>
  <c r="J219" i="16" s="1"/>
  <c r="J220" i="16" s="1"/>
  <c r="J221" i="16" s="1"/>
  <c r="J222" i="16" s="1"/>
  <c r="J223" i="16" s="1"/>
  <c r="J224" i="16" s="1"/>
  <c r="J225" i="16" s="1"/>
  <c r="J226" i="16" s="1"/>
  <c r="J227" i="16" s="1"/>
  <c r="J228" i="16" s="1"/>
  <c r="J229" i="16" s="1"/>
  <c r="J230" i="16" s="1"/>
  <c r="J231" i="16" s="1"/>
  <c r="J232" i="16" s="1"/>
  <c r="J233" i="16" s="1"/>
  <c r="J234" i="16" s="1"/>
  <c r="J235" i="16" s="1"/>
  <c r="J236" i="16" s="1"/>
  <c r="J237" i="16" s="1"/>
  <c r="J238" i="16" s="1"/>
  <c r="J239" i="16" s="1"/>
  <c r="J240" i="16" s="1"/>
  <c r="J241" i="16" s="1"/>
  <c r="J242" i="16" s="1"/>
  <c r="J243" i="16" s="1"/>
  <c r="J244" i="16" s="1"/>
  <c r="J245" i="16" s="1"/>
  <c r="J246" i="16" s="1"/>
  <c r="J247" i="16" s="1"/>
  <c r="J248" i="16" s="1"/>
  <c r="J249" i="16" s="1"/>
  <c r="J250" i="16" s="1"/>
  <c r="J251" i="16" s="1"/>
  <c r="J252" i="16" s="1"/>
  <c r="J253" i="16" s="1"/>
  <c r="J254" i="16" s="1"/>
  <c r="J255" i="16" s="1"/>
  <c r="J256" i="16" s="1"/>
  <c r="J257" i="16" s="1"/>
  <c r="J258" i="16" s="1"/>
  <c r="J259" i="16" s="1"/>
  <c r="J260" i="16" s="1"/>
  <c r="J261" i="16" s="1"/>
  <c r="D14" i="13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2" i="13" s="1"/>
  <c r="D53" i="13" s="1"/>
  <c r="D54" i="13" s="1"/>
  <c r="D55" i="13" s="1"/>
  <c r="D56" i="13" s="1"/>
  <c r="D57" i="13" s="1"/>
  <c r="D58" i="13" s="1"/>
  <c r="D59" i="13" s="1"/>
  <c r="D60" i="13" s="1"/>
  <c r="D61" i="13" s="1"/>
  <c r="D62" i="13" s="1"/>
  <c r="D63" i="13" s="1"/>
  <c r="D64" i="13" s="1"/>
  <c r="D65" i="13" s="1"/>
  <c r="D66" i="13" s="1"/>
  <c r="D67" i="13" s="1"/>
  <c r="D68" i="13" s="1"/>
  <c r="D69" i="13" s="1"/>
  <c r="D70" i="13" s="1"/>
  <c r="D71" i="13" s="1"/>
  <c r="D72" i="13" s="1"/>
  <c r="D73" i="13" s="1"/>
  <c r="D74" i="13" s="1"/>
  <c r="D75" i="13" s="1"/>
  <c r="D76" i="13" s="1"/>
  <c r="D77" i="13" s="1"/>
  <c r="D78" i="13" s="1"/>
  <c r="D79" i="13" s="1"/>
  <c r="D80" i="13" s="1"/>
  <c r="D81" i="13" s="1"/>
  <c r="D82" i="13" s="1"/>
  <c r="D83" i="13" s="1"/>
  <c r="D84" i="13" s="1"/>
  <c r="D85" i="13" s="1"/>
  <c r="D86" i="13" s="1"/>
  <c r="D87" i="13" s="1"/>
  <c r="D88" i="13" s="1"/>
  <c r="D89" i="13" s="1"/>
  <c r="D90" i="13" s="1"/>
  <c r="D91" i="13" s="1"/>
  <c r="D92" i="13" s="1"/>
  <c r="D93" i="13" s="1"/>
  <c r="D94" i="13" s="1"/>
  <c r="D95" i="13" s="1"/>
  <c r="D96" i="13" s="1"/>
  <c r="D97" i="13" s="1"/>
  <c r="D98" i="13" s="1"/>
  <c r="D99" i="13" s="1"/>
  <c r="D100" i="13" s="1"/>
  <c r="D101" i="13" s="1"/>
  <c r="D102" i="13" s="1"/>
  <c r="D103" i="13" s="1"/>
  <c r="D104" i="13" s="1"/>
  <c r="D105" i="13" s="1"/>
  <c r="D106" i="13" s="1"/>
  <c r="D107" i="13" s="1"/>
  <c r="D108" i="13" s="1"/>
  <c r="D109" i="13" s="1"/>
  <c r="D110" i="13" s="1"/>
  <c r="D111" i="13" s="1"/>
  <c r="D112" i="13" s="1"/>
  <c r="D113" i="13" s="1"/>
  <c r="D114" i="13" s="1"/>
  <c r="D115" i="13" s="1"/>
  <c r="D116" i="13" s="1"/>
  <c r="D117" i="13" s="1"/>
  <c r="D118" i="13" s="1"/>
  <c r="D119" i="13" s="1"/>
  <c r="D120" i="13" s="1"/>
  <c r="D121" i="13" s="1"/>
  <c r="D122" i="13" s="1"/>
  <c r="D123" i="13" s="1"/>
  <c r="D124" i="13" s="1"/>
  <c r="D125" i="13" s="1"/>
  <c r="D126" i="13" s="1"/>
  <c r="D127" i="13" s="1"/>
  <c r="D128" i="13" s="1"/>
  <c r="D129" i="13" s="1"/>
  <c r="D130" i="13" s="1"/>
  <c r="D131" i="13" s="1"/>
  <c r="D132" i="13" s="1"/>
  <c r="D133" i="13" s="1"/>
  <c r="D134" i="13" s="1"/>
  <c r="D135" i="13" s="1"/>
  <c r="D136" i="13" s="1"/>
  <c r="D137" i="13" s="1"/>
  <c r="D138" i="13" s="1"/>
  <c r="D139" i="13" s="1"/>
  <c r="D140" i="13" s="1"/>
  <c r="D141" i="13" s="1"/>
  <c r="D142" i="13" s="1"/>
  <c r="D143" i="13" s="1"/>
  <c r="D144" i="13" s="1"/>
  <c r="D145" i="13" s="1"/>
  <c r="D146" i="13" s="1"/>
  <c r="D147" i="13" s="1"/>
  <c r="D148" i="13" s="1"/>
  <c r="D149" i="13" s="1"/>
  <c r="D150" i="13" s="1"/>
  <c r="D151" i="13" s="1"/>
  <c r="D152" i="13" s="1"/>
  <c r="D153" i="13" s="1"/>
  <c r="D154" i="13" s="1"/>
  <c r="D155" i="13" s="1"/>
  <c r="D156" i="13" s="1"/>
  <c r="D157" i="13" s="1"/>
  <c r="D158" i="13" s="1"/>
  <c r="D159" i="13" s="1"/>
  <c r="D160" i="13" s="1"/>
  <c r="D161" i="13" s="1"/>
  <c r="D162" i="13" s="1"/>
  <c r="D163" i="13" s="1"/>
  <c r="D164" i="13" s="1"/>
  <c r="D165" i="13" s="1"/>
  <c r="D166" i="13" s="1"/>
  <c r="D167" i="13" s="1"/>
  <c r="D168" i="13" s="1"/>
  <c r="D169" i="13" s="1"/>
  <c r="D170" i="13" s="1"/>
  <c r="D171" i="13" s="1"/>
  <c r="D172" i="13" s="1"/>
  <c r="D173" i="13" s="1"/>
  <c r="D174" i="13" s="1"/>
  <c r="D175" i="13" s="1"/>
  <c r="D176" i="13" s="1"/>
  <c r="D177" i="13" s="1"/>
  <c r="D178" i="13" s="1"/>
  <c r="D179" i="13" s="1"/>
  <c r="D180" i="13" s="1"/>
  <c r="D181" i="13" s="1"/>
  <c r="D182" i="13" s="1"/>
  <c r="D183" i="13" s="1"/>
  <c r="D184" i="13" s="1"/>
  <c r="D185" i="13" s="1"/>
  <c r="D186" i="13" s="1"/>
  <c r="D187" i="13" s="1"/>
  <c r="D188" i="13" s="1"/>
  <c r="D189" i="13" s="1"/>
  <c r="D190" i="13" s="1"/>
  <c r="D191" i="13" s="1"/>
  <c r="D192" i="13" s="1"/>
  <c r="D193" i="13" s="1"/>
  <c r="D194" i="13" s="1"/>
  <c r="D195" i="13" s="1"/>
  <c r="D196" i="13" s="1"/>
  <c r="D197" i="13" s="1"/>
  <c r="D198" i="13" s="1"/>
  <c r="D199" i="13" s="1"/>
  <c r="D200" i="13" s="1"/>
  <c r="D201" i="13" s="1"/>
  <c r="D202" i="13" s="1"/>
  <c r="D203" i="13" s="1"/>
  <c r="D204" i="13" s="1"/>
  <c r="D205" i="13" s="1"/>
  <c r="D206" i="13" s="1"/>
  <c r="D207" i="13" s="1"/>
  <c r="D208" i="13" s="1"/>
  <c r="D209" i="13" s="1"/>
  <c r="D210" i="13" s="1"/>
  <c r="D211" i="13" s="1"/>
  <c r="D212" i="13" s="1"/>
  <c r="D213" i="13" s="1"/>
  <c r="D214" i="13" s="1"/>
  <c r="D215" i="13" s="1"/>
  <c r="D216" i="13" s="1"/>
  <c r="D217" i="13" s="1"/>
  <c r="D218" i="13" s="1"/>
  <c r="D219" i="13" s="1"/>
  <c r="D220" i="13" s="1"/>
  <c r="D221" i="13" s="1"/>
  <c r="D222" i="13" s="1"/>
  <c r="D223" i="13" s="1"/>
  <c r="D224" i="13" s="1"/>
  <c r="D225" i="13" s="1"/>
  <c r="D226" i="13" s="1"/>
  <c r="D227" i="13" s="1"/>
  <c r="D228" i="13" s="1"/>
  <c r="D229" i="13" s="1"/>
  <c r="D230" i="13" s="1"/>
  <c r="D231" i="13" s="1"/>
  <c r="D232" i="13" s="1"/>
  <c r="D233" i="13" s="1"/>
  <c r="D234" i="13" s="1"/>
  <c r="D235" i="13" s="1"/>
  <c r="D236" i="13" s="1"/>
  <c r="D237" i="13" s="1"/>
  <c r="D238" i="13" s="1"/>
  <c r="D239" i="13" s="1"/>
  <c r="D240" i="13" s="1"/>
  <c r="D241" i="13" s="1"/>
  <c r="D242" i="13" s="1"/>
  <c r="D243" i="13" s="1"/>
  <c r="D244" i="13" s="1"/>
  <c r="D245" i="13" s="1"/>
  <c r="D246" i="13" s="1"/>
  <c r="D247" i="13" s="1"/>
  <c r="D248" i="13" s="1"/>
  <c r="D249" i="13" s="1"/>
  <c r="D250" i="13" s="1"/>
  <c r="D251" i="13" s="1"/>
  <c r="D252" i="13" s="1"/>
  <c r="D253" i="13" s="1"/>
  <c r="D254" i="13" s="1"/>
  <c r="D255" i="13" s="1"/>
  <c r="D256" i="13" s="1"/>
  <c r="D257" i="13" s="1"/>
  <c r="D258" i="13" s="1"/>
  <c r="D259" i="13" s="1"/>
  <c r="D260" i="13" s="1"/>
  <c r="D261" i="13" s="1"/>
  <c r="D262" i="13" s="1"/>
  <c r="E5" i="14"/>
  <c r="E24" i="14" s="1"/>
  <c r="D24" i="14"/>
  <c r="D25" i="14" s="1"/>
  <c r="D19" i="12"/>
  <c r="C19" i="12"/>
  <c r="E19" i="12" s="1"/>
  <c r="D18" i="12"/>
  <c r="C18" i="12"/>
  <c r="E18" i="12" s="1"/>
  <c r="D17" i="12"/>
  <c r="C17" i="12"/>
  <c r="E17" i="12" s="1"/>
  <c r="D16" i="12"/>
  <c r="C16" i="12"/>
  <c r="E16" i="12" s="1"/>
  <c r="D15" i="12"/>
  <c r="C15" i="12"/>
  <c r="E15" i="12" s="1"/>
  <c r="D14" i="12"/>
  <c r="C14" i="12"/>
  <c r="E14" i="12" s="1"/>
  <c r="D13" i="12"/>
  <c r="C13" i="12"/>
  <c r="E13" i="12" s="1"/>
  <c r="D12" i="12"/>
  <c r="C12" i="12"/>
  <c r="E12" i="12" s="1"/>
  <c r="D11" i="12"/>
  <c r="C11" i="12"/>
  <c r="E11" i="12" s="1"/>
  <c r="D10" i="12"/>
  <c r="C10" i="12"/>
  <c r="E10" i="12" s="1"/>
  <c r="D9" i="12"/>
  <c r="C9" i="12"/>
  <c r="E9" i="12" s="1"/>
  <c r="D18" i="11"/>
  <c r="C18" i="11"/>
  <c r="E18" i="11" s="1"/>
  <c r="D17" i="11"/>
  <c r="C17" i="11"/>
  <c r="E17" i="11" s="1"/>
  <c r="D16" i="11"/>
  <c r="C16" i="11"/>
  <c r="E16" i="11" s="1"/>
  <c r="D15" i="11"/>
  <c r="C15" i="11"/>
  <c r="E15" i="11" s="1"/>
  <c r="D14" i="11"/>
  <c r="C14" i="11"/>
  <c r="E14" i="11" s="1"/>
  <c r="D13" i="11"/>
  <c r="C13" i="11"/>
  <c r="E13" i="11" s="1"/>
  <c r="D12" i="11"/>
  <c r="C12" i="11"/>
  <c r="E12" i="11" s="1"/>
  <c r="D11" i="11"/>
  <c r="C11" i="11"/>
  <c r="E11" i="11" s="1"/>
  <c r="D10" i="11"/>
  <c r="C10" i="11"/>
  <c r="E10" i="11" s="1"/>
  <c r="D9" i="11"/>
  <c r="C9" i="11"/>
  <c r="E9" i="11" s="1"/>
  <c r="D31" i="10"/>
  <c r="E31" i="10" s="1"/>
  <c r="C31" i="10"/>
  <c r="D30" i="10"/>
  <c r="E30" i="10" s="1"/>
  <c r="C30" i="10"/>
  <c r="E29" i="10"/>
  <c r="D29" i="10"/>
  <c r="C29" i="10"/>
  <c r="D28" i="10"/>
  <c r="E28" i="10" s="1"/>
  <c r="C28" i="10"/>
  <c r="D27" i="10"/>
  <c r="E27" i="10" s="1"/>
  <c r="C27" i="10"/>
  <c r="D26" i="10"/>
  <c r="E26" i="10" s="1"/>
  <c r="C26" i="10"/>
  <c r="E25" i="10"/>
  <c r="D25" i="10"/>
  <c r="C25" i="10"/>
  <c r="D24" i="10"/>
  <c r="E24" i="10" s="1"/>
  <c r="C24" i="10"/>
  <c r="D23" i="10"/>
  <c r="E23" i="10" s="1"/>
  <c r="C23" i="10"/>
  <c r="D22" i="10"/>
  <c r="E22" i="10" s="1"/>
  <c r="C22" i="10"/>
  <c r="E21" i="10"/>
  <c r="D21" i="10"/>
  <c r="C21" i="10"/>
  <c r="D20" i="10"/>
  <c r="E20" i="10" s="1"/>
  <c r="C20" i="10"/>
  <c r="D19" i="10"/>
  <c r="E19" i="10" s="1"/>
  <c r="C19" i="10"/>
  <c r="D18" i="10"/>
  <c r="E18" i="10" s="1"/>
  <c r="C18" i="10"/>
  <c r="E17" i="10"/>
  <c r="D17" i="10"/>
  <c r="C17" i="10"/>
  <c r="D16" i="10"/>
  <c r="E16" i="10" s="1"/>
  <c r="C16" i="10"/>
  <c r="D15" i="10"/>
  <c r="E15" i="10" s="1"/>
  <c r="C15" i="10"/>
  <c r="D14" i="10"/>
  <c r="E14" i="10" s="1"/>
  <c r="C14" i="10"/>
  <c r="E13" i="10"/>
  <c r="D13" i="10"/>
  <c r="C13" i="10"/>
  <c r="D12" i="10"/>
  <c r="E12" i="10" s="1"/>
  <c r="C12" i="10"/>
  <c r="D11" i="10"/>
  <c r="E11" i="10" s="1"/>
  <c r="C11" i="10"/>
  <c r="D10" i="10"/>
  <c r="E10" i="10" s="1"/>
  <c r="C10" i="10"/>
  <c r="E9" i="10"/>
  <c r="D9" i="10"/>
  <c r="C9" i="10"/>
  <c r="B13" i="9"/>
  <c r="B12" i="9"/>
  <c r="B17" i="9" s="1"/>
  <c r="H9" i="9"/>
  <c r="I10" i="9" s="1"/>
  <c r="H7" i="9"/>
  <c r="I6" i="9"/>
  <c r="I15" i="9" s="1"/>
  <c r="E27" i="8"/>
  <c r="F27" i="8" s="1"/>
  <c r="D27" i="8"/>
  <c r="E26" i="8"/>
  <c r="F26" i="8" s="1"/>
  <c r="D26" i="8"/>
  <c r="E25" i="8"/>
  <c r="F25" i="8" s="1"/>
  <c r="D25" i="8"/>
  <c r="E24" i="8"/>
  <c r="F24" i="8" s="1"/>
  <c r="D24" i="8"/>
  <c r="E23" i="8"/>
  <c r="F23" i="8" s="1"/>
  <c r="D23" i="8"/>
  <c r="E22" i="8"/>
  <c r="F22" i="8" s="1"/>
  <c r="D22" i="8"/>
  <c r="E21" i="8"/>
  <c r="F21" i="8" s="1"/>
  <c r="D21" i="8"/>
  <c r="E20" i="8"/>
  <c r="F20" i="8" s="1"/>
  <c r="D20" i="8"/>
  <c r="E19" i="8"/>
  <c r="F19" i="8" s="1"/>
  <c r="D19" i="8"/>
  <c r="E18" i="8"/>
  <c r="F18" i="8" s="1"/>
  <c r="D18" i="8"/>
  <c r="E17" i="8"/>
  <c r="F17" i="8" s="1"/>
  <c r="D17" i="8"/>
  <c r="E16" i="8"/>
  <c r="F16" i="8" s="1"/>
  <c r="D16" i="8"/>
  <c r="E15" i="8"/>
  <c r="F15" i="8" s="1"/>
  <c r="D15" i="8"/>
  <c r="E14" i="8"/>
  <c r="F14" i="8" s="1"/>
  <c r="D14" i="8"/>
  <c r="E13" i="8"/>
  <c r="F13" i="8" s="1"/>
  <c r="D13" i="8"/>
  <c r="E12" i="8"/>
  <c r="F12" i="8" s="1"/>
  <c r="D12" i="8"/>
  <c r="E11" i="8"/>
  <c r="F11" i="8" s="1"/>
  <c r="D11" i="8"/>
  <c r="E10" i="8"/>
  <c r="F10" i="8" s="1"/>
  <c r="D10" i="8"/>
  <c r="E9" i="8"/>
  <c r="F9" i="8" s="1"/>
  <c r="D9" i="8"/>
  <c r="E8" i="8"/>
  <c r="F8" i="8" s="1"/>
  <c r="D8" i="8"/>
  <c r="C15" i="7"/>
  <c r="G15" i="7" s="1"/>
  <c r="G14" i="7"/>
  <c r="D14" i="7"/>
  <c r="F14" i="7" s="1"/>
  <c r="C14" i="7"/>
  <c r="C13" i="7"/>
  <c r="D13" i="7" s="1"/>
  <c r="C12" i="7"/>
  <c r="G12" i="7" s="1"/>
  <c r="G11" i="7"/>
  <c r="C11" i="7"/>
  <c r="D11" i="7" s="1"/>
  <c r="C268" i="17" l="1"/>
  <c r="C269" i="17" s="1"/>
  <c r="G5" i="14"/>
  <c r="H5" i="14" s="1"/>
  <c r="B18" i="9"/>
  <c r="H16" i="9"/>
  <c r="G17" i="9" s="1"/>
  <c r="F11" i="7"/>
  <c r="E11" i="7"/>
  <c r="F13" i="7"/>
  <c r="E13" i="7"/>
  <c r="E14" i="7"/>
  <c r="D12" i="7"/>
  <c r="G13" i="7"/>
  <c r="G21" i="7" s="1"/>
  <c r="D15" i="7"/>
  <c r="C13" i="6"/>
  <c r="C8" i="6"/>
  <c r="C7" i="6"/>
  <c r="C12" i="6" s="1"/>
  <c r="C6" i="6"/>
  <c r="C11" i="6" s="1"/>
  <c r="C5" i="6"/>
  <c r="C10" i="6" s="1"/>
  <c r="C8" i="5"/>
  <c r="C13" i="5" s="1"/>
  <c r="C7" i="5"/>
  <c r="C12" i="5" s="1"/>
  <c r="C6" i="5"/>
  <c r="C11" i="5" s="1"/>
  <c r="C5" i="5"/>
  <c r="C10" i="5" s="1"/>
  <c r="H11" i="4"/>
  <c r="E11" i="4"/>
  <c r="B11" i="4"/>
  <c r="B51" i="3"/>
  <c r="C51" i="3" s="1"/>
  <c r="B50" i="3"/>
  <c r="C50" i="3" s="1"/>
  <c r="B49" i="3"/>
  <c r="C49" i="3" s="1"/>
  <c r="B48" i="3"/>
  <c r="C48" i="3" s="1"/>
  <c r="B47" i="3"/>
  <c r="C47" i="3" s="1"/>
  <c r="C54" i="3" s="1"/>
  <c r="B34" i="3"/>
  <c r="C34" i="3" s="1"/>
  <c r="B33" i="3"/>
  <c r="C33" i="3" s="1"/>
  <c r="C32" i="3"/>
  <c r="B32" i="3"/>
  <c r="B31" i="3"/>
  <c r="C31" i="3" s="1"/>
  <c r="B30" i="3"/>
  <c r="C30" i="3" s="1"/>
  <c r="B29" i="3"/>
  <c r="C29" i="3" s="1"/>
  <c r="C36" i="3" s="1"/>
  <c r="B27" i="3"/>
  <c r="C15" i="3"/>
  <c r="D15" i="3" s="1"/>
  <c r="C14" i="3"/>
  <c r="D13" i="3"/>
  <c r="C13" i="3"/>
  <c r="C12" i="3"/>
  <c r="C11" i="3"/>
  <c r="D11" i="3" s="1"/>
  <c r="E9" i="2"/>
  <c r="F9" i="2" s="1"/>
  <c r="E10" i="2"/>
  <c r="F10" i="2" s="1"/>
  <c r="E13" i="2"/>
  <c r="C10" i="2"/>
  <c r="D10" i="2" s="1"/>
  <c r="C11" i="2"/>
  <c r="E11" i="2" s="1"/>
  <c r="F11" i="2" s="1"/>
  <c r="C12" i="2"/>
  <c r="E12" i="2" s="1"/>
  <c r="F12" i="2" s="1"/>
  <c r="C13" i="2"/>
  <c r="D13" i="2" s="1"/>
  <c r="C14" i="2"/>
  <c r="D14" i="2" s="1"/>
  <c r="C9" i="2"/>
  <c r="D9" i="2" s="1"/>
  <c r="C13" i="1"/>
  <c r="D13" i="1" s="1"/>
  <c r="C14" i="1"/>
  <c r="D14" i="1" s="1"/>
  <c r="C15" i="1"/>
  <c r="E15" i="1" s="1"/>
  <c r="F15" i="1" s="1"/>
  <c r="C16" i="1"/>
  <c r="D16" i="1" s="1"/>
  <c r="C17" i="1"/>
  <c r="D17" i="1" s="1"/>
  <c r="C12" i="1"/>
  <c r="D12" i="1" s="1"/>
  <c r="F15" i="7" l="1"/>
  <c r="E15" i="7"/>
  <c r="F12" i="7"/>
  <c r="E12" i="7"/>
  <c r="D17" i="7"/>
  <c r="D14" i="3"/>
  <c r="D12" i="3"/>
  <c r="D17" i="3" s="1"/>
  <c r="D18" i="3" s="1"/>
  <c r="E17" i="1"/>
  <c r="F17" i="1" s="1"/>
  <c r="D12" i="2"/>
  <c r="E16" i="1"/>
  <c r="F16" i="1" s="1"/>
  <c r="E13" i="1"/>
  <c r="F13" i="1" s="1"/>
  <c r="E14" i="1"/>
  <c r="F14" i="1" s="1"/>
  <c r="E12" i="1"/>
  <c r="F12" i="1" s="1"/>
  <c r="D11" i="2"/>
  <c r="D15" i="1"/>
  <c r="E14" i="2"/>
  <c r="F14" i="2" s="1"/>
  <c r="F13" i="2"/>
  <c r="D19" i="7" l="1"/>
  <c r="D18" i="7"/>
  <c r="I22" i="7" s="1"/>
  <c r="D21" i="7"/>
  <c r="E15" i="3"/>
  <c r="E11" i="3"/>
  <c r="E13" i="3"/>
  <c r="E12" i="3"/>
  <c r="E14" i="3"/>
  <c r="E17" i="3" l="1"/>
</calcChain>
</file>

<file path=xl/sharedStrings.xml><?xml version="1.0" encoding="utf-8"?>
<sst xmlns="http://schemas.openxmlformats.org/spreadsheetml/2006/main" count="306" uniqueCount="197">
  <si>
    <t>Q: Amount A is invested at 10% per annum compounded m times per year. What is the effective interest rate (Re)?</t>
  </si>
  <si>
    <t>Nominal interest rate is 10% per annum.</t>
  </si>
  <si>
    <t>Consider r=10% = 0.10</t>
  </si>
  <si>
    <t>The value of A at the end of one year with r per annum compunded m times per year = A(1+r/m)^m</t>
  </si>
  <si>
    <t>The value of A at the end of one year with effective per annum compunded m times per year = A(1+Re)</t>
  </si>
  <si>
    <t xml:space="preserve">A(1+r/m)^m = A(1+Re) =&gt; Re  = (1+r/m)^m -1 </t>
  </si>
  <si>
    <t>Re = (1+0.10/m)^m - 1 for Nominal Rate r = 10%=0.10</t>
  </si>
  <si>
    <t xml:space="preserve">Annual Compounding </t>
  </si>
  <si>
    <t xml:space="preserve">Semi-Annual Compounding </t>
  </si>
  <si>
    <t>Quaterly Compounding</t>
  </si>
  <si>
    <t>Monthly Compounding</t>
  </si>
  <si>
    <t>Weekly Compounding</t>
  </si>
  <si>
    <t xml:space="preserve">Daily Compounding </t>
  </si>
  <si>
    <t>Effective Interest Rare Re</t>
  </si>
  <si>
    <t>Effective Interest Rate In %</t>
  </si>
  <si>
    <t>From Effective to Nominal</t>
  </si>
  <si>
    <t>Nominal Interest Rate In %</t>
  </si>
  <si>
    <t>Number Of Compounding Per Year m</t>
  </si>
  <si>
    <t>r = m((1+Re)^(1/m)-1)</t>
  </si>
  <si>
    <t>Q: Suppose that 6-month, 6-month, 12-month, 18-month, and 30-month zero rates are, 4%, 4.2%, 4.4%, 4.6% and 4.8%  per annum, respectively, with compounding interest. Estimate the bond price with face value of 100 that will mature in 30-months and pay a coupon of 4% pa semiannually.</t>
  </si>
  <si>
    <t>Face Value</t>
  </si>
  <si>
    <t>Coupon Payment pa(c)</t>
  </si>
  <si>
    <t xml:space="preserve">Time Period </t>
  </si>
  <si>
    <t xml:space="preserve">Frequency </t>
  </si>
  <si>
    <t xml:space="preserve">Zero Rate </t>
  </si>
  <si>
    <t xml:space="preserve">Cash Flows </t>
  </si>
  <si>
    <t>Present Value</t>
  </si>
  <si>
    <t>PV based on Yield</t>
  </si>
  <si>
    <t>Bond Price</t>
  </si>
  <si>
    <t xml:space="preserve">Yield </t>
  </si>
  <si>
    <t>Q: A 3-year bond provides a coupon of 8% semi-annually and has a cash price of 104. What is the bond's yield?</t>
  </si>
  <si>
    <t xml:space="preserve">Bond Price </t>
  </si>
  <si>
    <t>Q: A 5-year bond with a yield of 7% pays an 8% coupon at the of each year. What is the bond's price?</t>
  </si>
  <si>
    <t>Duration of a Bond</t>
  </si>
  <si>
    <t>Yield of a Bond</t>
  </si>
  <si>
    <t xml:space="preserve">Date of Settlement </t>
  </si>
  <si>
    <t xml:space="preserve">Date of Maturity </t>
  </si>
  <si>
    <t>Coupon Rate</t>
  </si>
  <si>
    <t>Percent Coupon</t>
  </si>
  <si>
    <t>Annual Coupon Rate</t>
  </si>
  <si>
    <t>Yield</t>
  </si>
  <si>
    <t>Price</t>
  </si>
  <si>
    <t xml:space="preserve">Yield on a Bond </t>
  </si>
  <si>
    <t>Redemption of the bond</t>
  </si>
  <si>
    <t>Redemption Value</t>
  </si>
  <si>
    <t>Frequency</t>
  </si>
  <si>
    <t>Duration of the bond is:</t>
  </si>
  <si>
    <t xml:space="preserve">Bond Yield </t>
  </si>
  <si>
    <t>Q: Suppose that the risk free zero interest rates with continous compounding for 1-year, 2-year, 3-year, 4-year and 5-year are respectively 3.0%, 4.0%, 4.6%, 5.0% and 5.3%. Find the forward rates fro 2nd, 3rd, 4rth and 5th year.</t>
  </si>
  <si>
    <t>Years(n)</t>
  </si>
  <si>
    <t>Zero rate for an n-year investment (% per annual cont. comp.)</t>
  </si>
  <si>
    <t>Forward Rate for nth year (per annum cont. comp.)</t>
  </si>
  <si>
    <t>Forward Rate for 2nd year:</t>
  </si>
  <si>
    <t>per annum cont. comp.</t>
  </si>
  <si>
    <t>Forward Rate for 3rd year:</t>
  </si>
  <si>
    <t>Forward Rate for 4th year:</t>
  </si>
  <si>
    <t>Forward Rate for 5th year:</t>
  </si>
  <si>
    <t>Q: Suppose that the risk free zero interest rates with continous compounding for 1-year, 2-year, 3-year, 4-year and 5-year are respectively 5.3%, 5.0%, 4.6%, 4.0% and 3.5%. Find the forward rates fro 2nd, 3rd, 4rth and 5th year.</t>
  </si>
  <si>
    <t>Q: A 5-year bond with a yield of 7% pays an 8% coupon at the end of each year. What is the bond's duration. Also, find its convexity. Using duration calculate the effect on the bond.</t>
  </si>
  <si>
    <t>Coupon</t>
  </si>
  <si>
    <t>Time Period</t>
  </si>
  <si>
    <t>New Yield</t>
  </si>
  <si>
    <t>Verification</t>
  </si>
  <si>
    <t>Time Intervals</t>
  </si>
  <si>
    <t xml:space="preserve">Coupon Payments </t>
  </si>
  <si>
    <t>PV of the coupon</t>
  </si>
  <si>
    <t>t*PV</t>
  </si>
  <si>
    <t>(t^2)*PV</t>
  </si>
  <si>
    <t>PV</t>
  </si>
  <si>
    <t xml:space="preserve">Duration </t>
  </si>
  <si>
    <t>Convexity</t>
  </si>
  <si>
    <t xml:space="preserve">Yield Change </t>
  </si>
  <si>
    <t>New Bond Price</t>
  </si>
  <si>
    <t>Using Convexity</t>
  </si>
  <si>
    <t>Using Duration</t>
  </si>
  <si>
    <t>Brute Force</t>
  </si>
  <si>
    <t>Q: Let a stock be purchased at Rs. 120, call option is exercised at a strike price of Rs 150 and a premium is Rs. 20. Find the profit when the price oid rhe share ranges between 60 and 250.</t>
  </si>
  <si>
    <t>Current Stock Price</t>
  </si>
  <si>
    <t>Strike Price</t>
  </si>
  <si>
    <t>Call Price</t>
  </si>
  <si>
    <t>Stock Price</t>
  </si>
  <si>
    <t>Long Stock</t>
  </si>
  <si>
    <t>ShortCall Profit</t>
  </si>
  <si>
    <t>Total Profit</t>
  </si>
  <si>
    <t>Option Pricing - Binomial - European Call Option</t>
  </si>
  <si>
    <t>Assumptions</t>
  </si>
  <si>
    <t xml:space="preserve">Fomulas </t>
  </si>
  <si>
    <t>Binomial Tree</t>
  </si>
  <si>
    <t>Up Factor</t>
  </si>
  <si>
    <r>
      <t>u = e^</t>
    </r>
    <r>
      <rPr>
        <sz val="11"/>
        <color theme="1"/>
        <rFont val="Calibri"/>
        <family val="2"/>
      </rPr>
      <t>σ√dt</t>
    </r>
  </si>
  <si>
    <t xml:space="preserve">Time to Maturity </t>
  </si>
  <si>
    <t>Risk Free Rate</t>
  </si>
  <si>
    <t>Down Factor</t>
  </si>
  <si>
    <t>u = e^(-σ√dt)</t>
  </si>
  <si>
    <t xml:space="preserve">Volatility </t>
  </si>
  <si>
    <t>Number of Steps</t>
  </si>
  <si>
    <t>Riskless Probability</t>
  </si>
  <si>
    <t>p_u = {1/(u-d)}[e^(rdt) - d]</t>
  </si>
  <si>
    <t>Option Type</t>
  </si>
  <si>
    <t>Call</t>
  </si>
  <si>
    <t>p_d = 1 - p_u</t>
  </si>
  <si>
    <t>Up</t>
  </si>
  <si>
    <t>Option Price</t>
  </si>
  <si>
    <t>Down</t>
  </si>
  <si>
    <t>e^(-rt){pf_u+(1-p)f_d}</t>
  </si>
  <si>
    <t>dt</t>
  </si>
  <si>
    <t>Risk Neutral Probability</t>
  </si>
  <si>
    <t>p_d</t>
  </si>
  <si>
    <t>Q.1. Let a share of Relicance be purchased at Rs 170, a put option is exercised at the stike price of Rs 150 and premium is Rs 45. Find the profit when the price ranges between 30 to 250, when a protective put strategy is used.</t>
  </si>
  <si>
    <t>Current Stock Price (S0)</t>
  </si>
  <si>
    <t>Strike Price (K)</t>
  </si>
  <si>
    <t>Put Price (p)</t>
  </si>
  <si>
    <t>Stock Price (S_T)</t>
  </si>
  <si>
    <t xml:space="preserve">Long Stock </t>
  </si>
  <si>
    <t>Long Put Profit</t>
  </si>
  <si>
    <t>Q.1 An investor buys for $3 a call option with a strike price of $30 and sells a call option for $1 with strike price of $35. Find the profit from the bull spread (using calls) if the stock prices are 20,30,31,32,33,34,35,40,45,50</t>
  </si>
  <si>
    <t>Long Call Price (c1)</t>
  </si>
  <si>
    <t>Strike Price (K1)</t>
  </si>
  <si>
    <t>Short Call Price (c2)</t>
  </si>
  <si>
    <t>Strike Price (K2)</t>
  </si>
  <si>
    <t xml:space="preserve">Long Call Profit </t>
  </si>
  <si>
    <t>Short Call Profit</t>
  </si>
  <si>
    <t>Q.1 An investor buys a put option for $3 with a strike price of $35 and sells a put option for $1 with a strike price of $30. Find the profits from a bear spread if the stock prices range from 10 to 60</t>
  </si>
  <si>
    <t>Long Put Price (c1)</t>
  </si>
  <si>
    <t>Short Put Price (c2)</t>
  </si>
  <si>
    <t xml:space="preserve">Simulating Log Normal Pricing </t>
  </si>
  <si>
    <t>The price of the stock today is $35. The price is of the stock is distributed lognormally, with an expected return of 15% and volatility of 20% per annum. We want to know how the price of the stock might behave on a daily basis throughout the next year.</t>
  </si>
  <si>
    <t>Initial Price</t>
  </si>
  <si>
    <t>Expected Rate of Return</t>
  </si>
  <si>
    <t>Volatility</t>
  </si>
  <si>
    <t>Change in time</t>
  </si>
  <si>
    <t xml:space="preserve">We assume there are total 250 trading days in a calender year </t>
  </si>
  <si>
    <t>Day</t>
  </si>
  <si>
    <t>Uniformly Distributed Random Number</t>
  </si>
  <si>
    <t>Normally Distributed Random Number</t>
  </si>
  <si>
    <t>Log Normal Stock Price</t>
  </si>
  <si>
    <t>Estimating Volatility From Historical Data Of Stock Prices</t>
  </si>
  <si>
    <t>Closing Stock Price Si</t>
  </si>
  <si>
    <t>Price Relatives Si/Si-1</t>
  </si>
  <si>
    <t>Daily Return ui</t>
  </si>
  <si>
    <t>ui^2</t>
  </si>
  <si>
    <t>Standard Deviation (s)</t>
  </si>
  <si>
    <t>s*sqrt(Number of Trading Days)</t>
  </si>
  <si>
    <t>the price of stock is $35. the price of the stock is distributed lognormally , with an expected rate of return of 15% and volatility of 20% per annum . We want to know how the price of stock might behave on a daily basis throughout the next year.</t>
  </si>
  <si>
    <t xml:space="preserve">assuming 250 trading days </t>
  </si>
  <si>
    <t xml:space="preserve">initial price </t>
  </si>
  <si>
    <t>expected rate of return</t>
  </si>
  <si>
    <t>volatility</t>
  </si>
  <si>
    <t>change in time</t>
  </si>
  <si>
    <t xml:space="preserve">days </t>
  </si>
  <si>
    <t>uniformly distributed random number</t>
  </si>
  <si>
    <t>lognormally distributed random number</t>
  </si>
  <si>
    <t>lognormal stock price</t>
  </si>
  <si>
    <t>Computing Price of European Call of option when the underlying follows Lognormal Model (using Monto Carlo Simulation)</t>
  </si>
  <si>
    <t>Initial  Price S_0</t>
  </si>
  <si>
    <t xml:space="preserve">Expected rate of return </t>
  </si>
  <si>
    <t>Volatility (Sigma)</t>
  </si>
  <si>
    <t>Change In time (delta t)</t>
  </si>
  <si>
    <t>&lt;-1/250</t>
  </si>
  <si>
    <t>Strike Price (k)</t>
  </si>
  <si>
    <t>Interest Rate ®</t>
  </si>
  <si>
    <t>Time To maturity (year)</t>
  </si>
  <si>
    <t>Path 1</t>
  </si>
  <si>
    <t>Path 2</t>
  </si>
  <si>
    <t>Path 3</t>
  </si>
  <si>
    <t>Path 4</t>
  </si>
  <si>
    <t>Path 5</t>
  </si>
  <si>
    <t>Path 6</t>
  </si>
  <si>
    <t>path7</t>
  </si>
  <si>
    <t>path8</t>
  </si>
  <si>
    <t>path 9</t>
  </si>
  <si>
    <t>path 10</t>
  </si>
  <si>
    <t>Call Option</t>
  </si>
  <si>
    <t>Payoff At T</t>
  </si>
  <si>
    <t>Expected Payoff</t>
  </si>
  <si>
    <t xml:space="preserve">Call Option Price </t>
  </si>
  <si>
    <t>The Black-Scholes Option-Pricing Formula</t>
  </si>
  <si>
    <t>d1</t>
  </si>
  <si>
    <t xml:space="preserve">Stock Volatility </t>
  </si>
  <si>
    <t>d2</t>
  </si>
  <si>
    <t>Risk Free Interest Rate</t>
  </si>
  <si>
    <t xml:space="preserve">Time To Maturity </t>
  </si>
  <si>
    <t>(In Years)</t>
  </si>
  <si>
    <t>N(d1)</t>
  </si>
  <si>
    <t>N(-d1)</t>
  </si>
  <si>
    <t>N(d2)</t>
  </si>
  <si>
    <t>N(-d2)</t>
  </si>
  <si>
    <t>Put Price</t>
  </si>
  <si>
    <t>Delta</t>
  </si>
  <si>
    <t xml:space="preserve">Time Period (Weeks) </t>
  </si>
  <si>
    <t>Risk Free Rate of Interest</t>
  </si>
  <si>
    <t>Week</t>
  </si>
  <si>
    <t>Theta</t>
  </si>
  <si>
    <t xml:space="preserve">Theta </t>
  </si>
  <si>
    <t>Gamma</t>
  </si>
  <si>
    <t xml:space="preserve">Gamma </t>
  </si>
  <si>
    <t>Vega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</si>
</sst>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%"/>
    <numFmt numFmtId="165" formatCode="0.00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</font>
    <font>
      <sz val="11"/>
      <name val="Calibri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left" vertical="center" wrapText="1"/>
    </xf>
    <xf numFmtId="165" fontId="0" fillId="0" borderId="0" xfId="0" applyNumberFormat="1"/>
    <xf numFmtId="0" fontId="3" fillId="0" borderId="0" xfId="0" applyFont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7" fillId="0" borderId="0" xfId="0" applyFont="1" applyAlignment="1">
      <alignment wrapText="1"/>
    </xf>
    <xf numFmtId="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Profit vs Stock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Covered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[1]Sheet1!$C$8:$C$27</c:f>
              <c:numCache>
                <c:formatCode>General</c:formatCode>
                <c:ptCount val="20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  <c:pt idx="15">
                  <c:v>210</c:v>
                </c:pt>
                <c:pt idx="16">
                  <c:v>220</c:v>
                </c:pt>
                <c:pt idx="17">
                  <c:v>230</c:v>
                </c:pt>
                <c:pt idx="18">
                  <c:v>240</c:v>
                </c:pt>
                <c:pt idx="19">
                  <c:v>250</c:v>
                </c:pt>
              </c:numCache>
            </c:numRef>
          </c:xVal>
          <c:yVal>
            <c:numRef>
              <c:f>[1]Sheet1!$F$8:$F$27</c:f>
              <c:numCache>
                <c:formatCode>General</c:formatCode>
                <c:ptCount val="20"/>
                <c:pt idx="0">
                  <c:v>-40</c:v>
                </c:pt>
                <c:pt idx="1">
                  <c:v>-30</c:v>
                </c:pt>
                <c:pt idx="2">
                  <c:v>-20</c:v>
                </c:pt>
                <c:pt idx="3">
                  <c:v>-10</c:v>
                </c:pt>
                <c:pt idx="4">
                  <c:v>0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CD-40EE-94FF-A2E493AF4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549247"/>
        <c:axId val="382542527"/>
      </c:scatterChart>
      <c:valAx>
        <c:axId val="382549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542527"/>
        <c:crosses val="autoZero"/>
        <c:crossBetween val="midCat"/>
      </c:valAx>
      <c:valAx>
        <c:axId val="38254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549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Protective</a:t>
            </a:r>
            <a:r>
              <a:rPr lang="en-US" b="1" baseline="0"/>
              <a:t> Put Strategy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'[2]Protective Put'!$E$8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'[2]Protective Put'!$B$9:$B$31</c:f>
              <c:numCache>
                <c:formatCode>General</c:formatCode>
                <c:ptCount val="23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130</c:v>
                </c:pt>
                <c:pt idx="11">
                  <c:v>140</c:v>
                </c:pt>
                <c:pt idx="12">
                  <c:v>150</c:v>
                </c:pt>
                <c:pt idx="13">
                  <c:v>160</c:v>
                </c:pt>
                <c:pt idx="14">
                  <c:v>170</c:v>
                </c:pt>
                <c:pt idx="15">
                  <c:v>180</c:v>
                </c:pt>
                <c:pt idx="16">
                  <c:v>190</c:v>
                </c:pt>
                <c:pt idx="17">
                  <c:v>200</c:v>
                </c:pt>
                <c:pt idx="18">
                  <c:v>210</c:v>
                </c:pt>
                <c:pt idx="19">
                  <c:v>220</c:v>
                </c:pt>
                <c:pt idx="20">
                  <c:v>230</c:v>
                </c:pt>
                <c:pt idx="21">
                  <c:v>240</c:v>
                </c:pt>
                <c:pt idx="22">
                  <c:v>250</c:v>
                </c:pt>
              </c:numCache>
            </c:numRef>
          </c:cat>
          <c:val>
            <c:numRef>
              <c:f>'[2]Protective Put'!$E$9:$E$31</c:f>
              <c:numCache>
                <c:formatCode>General</c:formatCode>
                <c:ptCount val="23"/>
                <c:pt idx="0">
                  <c:v>-65</c:v>
                </c:pt>
                <c:pt idx="1">
                  <c:v>-65</c:v>
                </c:pt>
                <c:pt idx="2">
                  <c:v>-65</c:v>
                </c:pt>
                <c:pt idx="3">
                  <c:v>-65</c:v>
                </c:pt>
                <c:pt idx="4">
                  <c:v>-55</c:v>
                </c:pt>
                <c:pt idx="5">
                  <c:v>-45</c:v>
                </c:pt>
                <c:pt idx="6">
                  <c:v>-35</c:v>
                </c:pt>
                <c:pt idx="7">
                  <c:v>-25</c:v>
                </c:pt>
                <c:pt idx="8">
                  <c:v>-15</c:v>
                </c:pt>
                <c:pt idx="9">
                  <c:v>-5</c:v>
                </c:pt>
                <c:pt idx="10">
                  <c:v>5</c:v>
                </c:pt>
                <c:pt idx="11">
                  <c:v>15</c:v>
                </c:pt>
                <c:pt idx="12">
                  <c:v>25</c:v>
                </c:pt>
                <c:pt idx="13">
                  <c:v>35</c:v>
                </c:pt>
                <c:pt idx="14">
                  <c:v>45</c:v>
                </c:pt>
                <c:pt idx="15">
                  <c:v>55</c:v>
                </c:pt>
                <c:pt idx="16">
                  <c:v>65</c:v>
                </c:pt>
                <c:pt idx="17">
                  <c:v>75</c:v>
                </c:pt>
                <c:pt idx="18">
                  <c:v>85</c:v>
                </c:pt>
                <c:pt idx="19">
                  <c:v>95</c:v>
                </c:pt>
                <c:pt idx="20">
                  <c:v>105</c:v>
                </c:pt>
                <c:pt idx="21">
                  <c:v>115</c:v>
                </c:pt>
                <c:pt idx="22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99-42B3-8AC8-21107CDDA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0350752"/>
        <c:axId val="1220359392"/>
      </c:lineChart>
      <c:catAx>
        <c:axId val="122035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359392"/>
        <c:crosses val="autoZero"/>
        <c:auto val="1"/>
        <c:lblAlgn val="ctr"/>
        <c:lblOffset val="100"/>
        <c:noMultiLvlLbl val="0"/>
      </c:catAx>
      <c:valAx>
        <c:axId val="122035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35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Bull Spread Using Calls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'[2]Bull Spread'!$E$8</c:f>
              <c:strCache>
                <c:ptCount val="1"/>
                <c:pt idx="0">
                  <c:v>Total Profit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'[2]Bull Spread'!$B$9:$B$18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31</c:v>
                </c:pt>
                <c:pt idx="3">
                  <c:v>32</c:v>
                </c:pt>
                <c:pt idx="4">
                  <c:v>33</c:v>
                </c:pt>
                <c:pt idx="5">
                  <c:v>34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xVal>
          <c:yVal>
            <c:numRef>
              <c:f>'[2]Bull Spread'!$E$9:$E$18</c:f>
              <c:numCache>
                <c:formatCode>General</c:formatCode>
                <c:ptCount val="10"/>
                <c:pt idx="0">
                  <c:v>-2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0A-49C5-8E0A-9F54E7BDE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361312"/>
        <c:axId val="1220361792"/>
      </c:scatterChart>
      <c:valAx>
        <c:axId val="122036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361792"/>
        <c:crosses val="autoZero"/>
        <c:crossBetween val="midCat"/>
      </c:valAx>
      <c:valAx>
        <c:axId val="122036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36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'[3]Stimulating Log Normal Pricing'!$D$11</c:f>
              <c:strCache>
                <c:ptCount val="1"/>
                <c:pt idx="0">
                  <c:v>Log Normal Stock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'[3]Stimulating Log Normal Pricing'!$A$12:$A$262</c:f>
              <c:numCache>
                <c:formatCode>General</c:formatCode>
                <c:ptCount val="2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</c:numCache>
            </c:numRef>
          </c:cat>
          <c:val>
            <c:numRef>
              <c:f>'[3]Stimulating Log Normal Pricing'!$D$12:$D$262</c:f>
              <c:numCache>
                <c:formatCode>General</c:formatCode>
                <c:ptCount val="251"/>
                <c:pt idx="0">
                  <c:v>35</c:v>
                </c:pt>
                <c:pt idx="1">
                  <c:v>35.600316343287318</c:v>
                </c:pt>
                <c:pt idx="2">
                  <c:v>35.328100073547972</c:v>
                </c:pt>
                <c:pt idx="3">
                  <c:v>35.396122562532518</c:v>
                </c:pt>
                <c:pt idx="4">
                  <c:v>35.585530468715653</c:v>
                </c:pt>
                <c:pt idx="5">
                  <c:v>35.840609126611852</c:v>
                </c:pt>
                <c:pt idx="6">
                  <c:v>35.672207953343197</c:v>
                </c:pt>
                <c:pt idx="7">
                  <c:v>35.997778567007124</c:v>
                </c:pt>
                <c:pt idx="8">
                  <c:v>35.671942386322087</c:v>
                </c:pt>
                <c:pt idx="9">
                  <c:v>35.683148292197551</c:v>
                </c:pt>
                <c:pt idx="10">
                  <c:v>35.499134788463209</c:v>
                </c:pt>
                <c:pt idx="11">
                  <c:v>35.747048410305368</c:v>
                </c:pt>
                <c:pt idx="12">
                  <c:v>35.854223238919673</c:v>
                </c:pt>
                <c:pt idx="13">
                  <c:v>35.322921703030509</c:v>
                </c:pt>
                <c:pt idx="14">
                  <c:v>35.702057952042978</c:v>
                </c:pt>
                <c:pt idx="15">
                  <c:v>36.459285627138371</c:v>
                </c:pt>
                <c:pt idx="16">
                  <c:v>36.561558456908287</c:v>
                </c:pt>
                <c:pt idx="17">
                  <c:v>37.307858158047722</c:v>
                </c:pt>
                <c:pt idx="18">
                  <c:v>37.028545386912754</c:v>
                </c:pt>
                <c:pt idx="19">
                  <c:v>37.501097307957281</c:v>
                </c:pt>
                <c:pt idx="20">
                  <c:v>37.142678270668313</c:v>
                </c:pt>
                <c:pt idx="21">
                  <c:v>37.743266239989985</c:v>
                </c:pt>
                <c:pt idx="22">
                  <c:v>38.499155684571775</c:v>
                </c:pt>
                <c:pt idx="23">
                  <c:v>38.419006097228589</c:v>
                </c:pt>
                <c:pt idx="24">
                  <c:v>38.573696829190546</c:v>
                </c:pt>
                <c:pt idx="25">
                  <c:v>38.092595926417609</c:v>
                </c:pt>
                <c:pt idx="26">
                  <c:v>38.231204536979625</c:v>
                </c:pt>
                <c:pt idx="27">
                  <c:v>38.246720127547007</c:v>
                </c:pt>
                <c:pt idx="28">
                  <c:v>39.188674049962522</c:v>
                </c:pt>
                <c:pt idx="29">
                  <c:v>38.939708288058902</c:v>
                </c:pt>
                <c:pt idx="30">
                  <c:v>38.68218586598924</c:v>
                </c:pt>
                <c:pt idx="31">
                  <c:v>38.759031444093175</c:v>
                </c:pt>
                <c:pt idx="32">
                  <c:v>38.7247969945644</c:v>
                </c:pt>
                <c:pt idx="33">
                  <c:v>38.281868564478764</c:v>
                </c:pt>
                <c:pt idx="34">
                  <c:v>37.908072417050661</c:v>
                </c:pt>
                <c:pt idx="35">
                  <c:v>38.361630635007479</c:v>
                </c:pt>
                <c:pt idx="36">
                  <c:v>38.286340542156687</c:v>
                </c:pt>
                <c:pt idx="37">
                  <c:v>37.710306637750413</c:v>
                </c:pt>
                <c:pt idx="38">
                  <c:v>38.094469129590884</c:v>
                </c:pt>
                <c:pt idx="39">
                  <c:v>39.065784509745612</c:v>
                </c:pt>
                <c:pt idx="40">
                  <c:v>38.916194114118092</c:v>
                </c:pt>
                <c:pt idx="41">
                  <c:v>38.918289108031445</c:v>
                </c:pt>
                <c:pt idx="42">
                  <c:v>38.085477787061272</c:v>
                </c:pt>
                <c:pt idx="43">
                  <c:v>38.447868851443005</c:v>
                </c:pt>
                <c:pt idx="44">
                  <c:v>38.099760338873324</c:v>
                </c:pt>
                <c:pt idx="45">
                  <c:v>38.321494176960833</c:v>
                </c:pt>
                <c:pt idx="46">
                  <c:v>37.806815173039752</c:v>
                </c:pt>
                <c:pt idx="47">
                  <c:v>37.918042544360638</c:v>
                </c:pt>
                <c:pt idx="48">
                  <c:v>38.386604988046066</c:v>
                </c:pt>
                <c:pt idx="49">
                  <c:v>37.645221166388637</c:v>
                </c:pt>
                <c:pt idx="50">
                  <c:v>37.594781952220806</c:v>
                </c:pt>
                <c:pt idx="51">
                  <c:v>37.551756432118459</c:v>
                </c:pt>
                <c:pt idx="52">
                  <c:v>36.920641799016948</c:v>
                </c:pt>
                <c:pt idx="53">
                  <c:v>37.416280130406051</c:v>
                </c:pt>
                <c:pt idx="54">
                  <c:v>37.104618232471047</c:v>
                </c:pt>
                <c:pt idx="55">
                  <c:v>37.626873178212186</c:v>
                </c:pt>
                <c:pt idx="56">
                  <c:v>37.098784030069524</c:v>
                </c:pt>
                <c:pt idx="57">
                  <c:v>37.280218245983562</c:v>
                </c:pt>
                <c:pt idx="58">
                  <c:v>37.402084325533444</c:v>
                </c:pt>
                <c:pt idx="59">
                  <c:v>37.005850247383421</c:v>
                </c:pt>
                <c:pt idx="60">
                  <c:v>38.295599323551016</c:v>
                </c:pt>
                <c:pt idx="61">
                  <c:v>38.574709024626316</c:v>
                </c:pt>
                <c:pt idx="62">
                  <c:v>38.242096726404661</c:v>
                </c:pt>
                <c:pt idx="63">
                  <c:v>37.749270354807393</c:v>
                </c:pt>
                <c:pt idx="64">
                  <c:v>37.660494400461552</c:v>
                </c:pt>
                <c:pt idx="65">
                  <c:v>37.331960476263504</c:v>
                </c:pt>
                <c:pt idx="66">
                  <c:v>37.240433159134604</c:v>
                </c:pt>
                <c:pt idx="67">
                  <c:v>36.862874783861933</c:v>
                </c:pt>
                <c:pt idx="68">
                  <c:v>38.11955108800494</c:v>
                </c:pt>
                <c:pt idx="69">
                  <c:v>37.433742343681459</c:v>
                </c:pt>
                <c:pt idx="70">
                  <c:v>37.773492858689089</c:v>
                </c:pt>
                <c:pt idx="71">
                  <c:v>38.259407052355037</c:v>
                </c:pt>
                <c:pt idx="72">
                  <c:v>38.39638203416326</c:v>
                </c:pt>
                <c:pt idx="73">
                  <c:v>39.446681099084074</c:v>
                </c:pt>
                <c:pt idx="74">
                  <c:v>39.376119742307409</c:v>
                </c:pt>
                <c:pt idx="75">
                  <c:v>39.31729136030075</c:v>
                </c:pt>
                <c:pt idx="76">
                  <c:v>38.874291592678546</c:v>
                </c:pt>
                <c:pt idx="77">
                  <c:v>38.258525619096112</c:v>
                </c:pt>
                <c:pt idx="78">
                  <c:v>38.441042401867456</c:v>
                </c:pt>
                <c:pt idx="79">
                  <c:v>38.525128287909169</c:v>
                </c:pt>
                <c:pt idx="80">
                  <c:v>38.379751484203624</c:v>
                </c:pt>
                <c:pt idx="81">
                  <c:v>38.547614752760389</c:v>
                </c:pt>
                <c:pt idx="82">
                  <c:v>39.001584486749017</c:v>
                </c:pt>
                <c:pt idx="83">
                  <c:v>38.179534783981318</c:v>
                </c:pt>
                <c:pt idx="84">
                  <c:v>38.008059693304403</c:v>
                </c:pt>
                <c:pt idx="85">
                  <c:v>38.047170701747824</c:v>
                </c:pt>
                <c:pt idx="86">
                  <c:v>38.185194836236001</c:v>
                </c:pt>
                <c:pt idx="87">
                  <c:v>38.58232922517756</c:v>
                </c:pt>
                <c:pt idx="88">
                  <c:v>37.589083703564619</c:v>
                </c:pt>
                <c:pt idx="89">
                  <c:v>37.789762742496158</c:v>
                </c:pt>
                <c:pt idx="90">
                  <c:v>37.215600481311505</c:v>
                </c:pt>
                <c:pt idx="91">
                  <c:v>37.248521016409519</c:v>
                </c:pt>
                <c:pt idx="92">
                  <c:v>36.816163337515917</c:v>
                </c:pt>
                <c:pt idx="93">
                  <c:v>37.563931299527724</c:v>
                </c:pt>
                <c:pt idx="94">
                  <c:v>37.330235810885995</c:v>
                </c:pt>
                <c:pt idx="95">
                  <c:v>37.075249563764075</c:v>
                </c:pt>
                <c:pt idx="96">
                  <c:v>37.575943119508381</c:v>
                </c:pt>
                <c:pt idx="97">
                  <c:v>37.426751777148105</c:v>
                </c:pt>
                <c:pt idx="98">
                  <c:v>37.222844747642263</c:v>
                </c:pt>
                <c:pt idx="99">
                  <c:v>36.847540569078973</c:v>
                </c:pt>
                <c:pt idx="100">
                  <c:v>37.555959524282521</c:v>
                </c:pt>
                <c:pt idx="101">
                  <c:v>37.472758444938442</c:v>
                </c:pt>
                <c:pt idx="102">
                  <c:v>37.777583070909564</c:v>
                </c:pt>
                <c:pt idx="103">
                  <c:v>37.779288405371176</c:v>
                </c:pt>
                <c:pt idx="104">
                  <c:v>36.645951653113421</c:v>
                </c:pt>
                <c:pt idx="105">
                  <c:v>37.225645271566691</c:v>
                </c:pt>
                <c:pt idx="106">
                  <c:v>36.921094131618055</c:v>
                </c:pt>
                <c:pt idx="107">
                  <c:v>37.2215769764328</c:v>
                </c:pt>
                <c:pt idx="108">
                  <c:v>36.888826615152603</c:v>
                </c:pt>
                <c:pt idx="109">
                  <c:v>36.56078699780354</c:v>
                </c:pt>
                <c:pt idx="110">
                  <c:v>36.132663408508819</c:v>
                </c:pt>
                <c:pt idx="111">
                  <c:v>36.424123037472334</c:v>
                </c:pt>
                <c:pt idx="112">
                  <c:v>36.367899451691407</c:v>
                </c:pt>
                <c:pt idx="113">
                  <c:v>36.408707086048437</c:v>
                </c:pt>
                <c:pt idx="114">
                  <c:v>37.042332748201197</c:v>
                </c:pt>
                <c:pt idx="115">
                  <c:v>37.127592461655659</c:v>
                </c:pt>
                <c:pt idx="116">
                  <c:v>37.709150938669772</c:v>
                </c:pt>
                <c:pt idx="117">
                  <c:v>38.020731869682685</c:v>
                </c:pt>
                <c:pt idx="118">
                  <c:v>37.510522458698205</c:v>
                </c:pt>
                <c:pt idx="119">
                  <c:v>38.186916503985671</c:v>
                </c:pt>
                <c:pt idx="120">
                  <c:v>38.051038836429491</c:v>
                </c:pt>
                <c:pt idx="121">
                  <c:v>38.17884574389835</c:v>
                </c:pt>
                <c:pt idx="122">
                  <c:v>38.117768655529694</c:v>
                </c:pt>
                <c:pt idx="123">
                  <c:v>37.929232108356658</c:v>
                </c:pt>
                <c:pt idx="124">
                  <c:v>38.877859487933378</c:v>
                </c:pt>
                <c:pt idx="125">
                  <c:v>38.273427732112843</c:v>
                </c:pt>
                <c:pt idx="126">
                  <c:v>38.758616505363115</c:v>
                </c:pt>
                <c:pt idx="127">
                  <c:v>38.998258223338198</c:v>
                </c:pt>
                <c:pt idx="128">
                  <c:v>38.648379669062692</c:v>
                </c:pt>
                <c:pt idx="129">
                  <c:v>37.981311763675215</c:v>
                </c:pt>
                <c:pt idx="130">
                  <c:v>38.204688786924159</c:v>
                </c:pt>
                <c:pt idx="131">
                  <c:v>38.255923709135558</c:v>
                </c:pt>
                <c:pt idx="132">
                  <c:v>38.207144865622986</c:v>
                </c:pt>
                <c:pt idx="133">
                  <c:v>38.137134340118877</c:v>
                </c:pt>
                <c:pt idx="134">
                  <c:v>37.662572599969486</c:v>
                </c:pt>
                <c:pt idx="135">
                  <c:v>37.757924076698437</c:v>
                </c:pt>
                <c:pt idx="136">
                  <c:v>38.892170746440456</c:v>
                </c:pt>
                <c:pt idx="137">
                  <c:v>38.184263052467699</c:v>
                </c:pt>
                <c:pt idx="138">
                  <c:v>38.787813231686606</c:v>
                </c:pt>
                <c:pt idx="139">
                  <c:v>38.551829452461277</c:v>
                </c:pt>
                <c:pt idx="140">
                  <c:v>38.089257785490844</c:v>
                </c:pt>
                <c:pt idx="141">
                  <c:v>38.273749641670435</c:v>
                </c:pt>
                <c:pt idx="142">
                  <c:v>37.861625350564374</c:v>
                </c:pt>
                <c:pt idx="143">
                  <c:v>37.607738825840052</c:v>
                </c:pt>
                <c:pt idx="144">
                  <c:v>37.260861866721129</c:v>
                </c:pt>
                <c:pt idx="145">
                  <c:v>36.777186128919489</c:v>
                </c:pt>
                <c:pt idx="146">
                  <c:v>36.218485826043725</c:v>
                </c:pt>
                <c:pt idx="147">
                  <c:v>36.290310149473569</c:v>
                </c:pt>
                <c:pt idx="148">
                  <c:v>36.129911942751107</c:v>
                </c:pt>
                <c:pt idx="149">
                  <c:v>35.95798434075067</c:v>
                </c:pt>
                <c:pt idx="150">
                  <c:v>34.892939072773395</c:v>
                </c:pt>
                <c:pt idx="151">
                  <c:v>34.254237050974453</c:v>
                </c:pt>
                <c:pt idx="152">
                  <c:v>34.574068816329969</c:v>
                </c:pt>
                <c:pt idx="153">
                  <c:v>35.159778229695178</c:v>
                </c:pt>
                <c:pt idx="154">
                  <c:v>35.269720373285374</c:v>
                </c:pt>
                <c:pt idx="155">
                  <c:v>35.28824255265561</c:v>
                </c:pt>
                <c:pt idx="156">
                  <c:v>35.345219848332277</c:v>
                </c:pt>
                <c:pt idx="157">
                  <c:v>35.641515969226809</c:v>
                </c:pt>
                <c:pt idx="158">
                  <c:v>35.364304497142626</c:v>
                </c:pt>
                <c:pt idx="159">
                  <c:v>35.381480484346092</c:v>
                </c:pt>
                <c:pt idx="160">
                  <c:v>34.781850785894228</c:v>
                </c:pt>
                <c:pt idx="161">
                  <c:v>34.482027908789135</c:v>
                </c:pt>
                <c:pt idx="162">
                  <c:v>34.92299706359519</c:v>
                </c:pt>
                <c:pt idx="163">
                  <c:v>35.144404854723447</c:v>
                </c:pt>
                <c:pt idx="164">
                  <c:v>35.502419032743617</c:v>
                </c:pt>
                <c:pt idx="165">
                  <c:v>35.194626267857849</c:v>
                </c:pt>
                <c:pt idx="166">
                  <c:v>35.242042826791838</c:v>
                </c:pt>
                <c:pt idx="167">
                  <c:v>35.090095725647558</c:v>
                </c:pt>
                <c:pt idx="168">
                  <c:v>34.486641228312251</c:v>
                </c:pt>
                <c:pt idx="169">
                  <c:v>34.601055631338703</c:v>
                </c:pt>
                <c:pt idx="170">
                  <c:v>34.669835156522197</c:v>
                </c:pt>
                <c:pt idx="171">
                  <c:v>34.914777382049031</c:v>
                </c:pt>
                <c:pt idx="172">
                  <c:v>34.962952328253024</c:v>
                </c:pt>
                <c:pt idx="173">
                  <c:v>35.290882270283284</c:v>
                </c:pt>
                <c:pt idx="174">
                  <c:v>35.744290832975899</c:v>
                </c:pt>
                <c:pt idx="175">
                  <c:v>35.964841197015552</c:v>
                </c:pt>
                <c:pt idx="176">
                  <c:v>35.900888339714861</c:v>
                </c:pt>
                <c:pt idx="177">
                  <c:v>36.108509210639902</c:v>
                </c:pt>
                <c:pt idx="178">
                  <c:v>35.68081034361812</c:v>
                </c:pt>
                <c:pt idx="179">
                  <c:v>35.957421981304591</c:v>
                </c:pt>
                <c:pt idx="180">
                  <c:v>35.419074963266823</c:v>
                </c:pt>
                <c:pt idx="181">
                  <c:v>34.742638698953428</c:v>
                </c:pt>
                <c:pt idx="182">
                  <c:v>34.533321999653751</c:v>
                </c:pt>
                <c:pt idx="183">
                  <c:v>34.198504274528972</c:v>
                </c:pt>
                <c:pt idx="184">
                  <c:v>34.133253394939388</c:v>
                </c:pt>
                <c:pt idx="185">
                  <c:v>34.068173600718538</c:v>
                </c:pt>
                <c:pt idx="186">
                  <c:v>33.882048396308285</c:v>
                </c:pt>
                <c:pt idx="187">
                  <c:v>33.721868079971237</c:v>
                </c:pt>
                <c:pt idx="188">
                  <c:v>32.986400610253654</c:v>
                </c:pt>
                <c:pt idx="189">
                  <c:v>32.689670037400681</c:v>
                </c:pt>
                <c:pt idx="190">
                  <c:v>33.194197651293827</c:v>
                </c:pt>
                <c:pt idx="191">
                  <c:v>32.985622478015067</c:v>
                </c:pt>
                <c:pt idx="192">
                  <c:v>32.786944111267431</c:v>
                </c:pt>
                <c:pt idx="193">
                  <c:v>32.782511548540441</c:v>
                </c:pt>
                <c:pt idx="194">
                  <c:v>32.840734990119046</c:v>
                </c:pt>
                <c:pt idx="195">
                  <c:v>32.659797773587925</c:v>
                </c:pt>
                <c:pt idx="196">
                  <c:v>33.389495565706603</c:v>
                </c:pt>
                <c:pt idx="197">
                  <c:v>33.155056257606745</c:v>
                </c:pt>
                <c:pt idx="198">
                  <c:v>33.535851217342888</c:v>
                </c:pt>
                <c:pt idx="199">
                  <c:v>34.109709335873525</c:v>
                </c:pt>
                <c:pt idx="200">
                  <c:v>33.541123623437713</c:v>
                </c:pt>
                <c:pt idx="201">
                  <c:v>34.032519160822787</c:v>
                </c:pt>
                <c:pt idx="202">
                  <c:v>34.221063755307206</c:v>
                </c:pt>
                <c:pt idx="203">
                  <c:v>34.064789753405293</c:v>
                </c:pt>
                <c:pt idx="204">
                  <c:v>34.283777014576089</c:v>
                </c:pt>
                <c:pt idx="205">
                  <c:v>34.89534421376824</c:v>
                </c:pt>
                <c:pt idx="206">
                  <c:v>35.354870853766506</c:v>
                </c:pt>
                <c:pt idx="207">
                  <c:v>34.929552127479333</c:v>
                </c:pt>
                <c:pt idx="208">
                  <c:v>35.595094247930469</c:v>
                </c:pt>
                <c:pt idx="209">
                  <c:v>35.732186663342219</c:v>
                </c:pt>
                <c:pt idx="210">
                  <c:v>35.442611647940637</c:v>
                </c:pt>
                <c:pt idx="211">
                  <c:v>35.977461326342194</c:v>
                </c:pt>
                <c:pt idx="212">
                  <c:v>36.078140386178788</c:v>
                </c:pt>
                <c:pt idx="213">
                  <c:v>36.232243947617526</c:v>
                </c:pt>
                <c:pt idx="214">
                  <c:v>36.214600614548694</c:v>
                </c:pt>
                <c:pt idx="215">
                  <c:v>36.583119531733942</c:v>
                </c:pt>
                <c:pt idx="216">
                  <c:v>37.374099452692477</c:v>
                </c:pt>
                <c:pt idx="217">
                  <c:v>37.485542971146508</c:v>
                </c:pt>
                <c:pt idx="218">
                  <c:v>37.013902111123841</c:v>
                </c:pt>
                <c:pt idx="219">
                  <c:v>36.339899473461237</c:v>
                </c:pt>
                <c:pt idx="220">
                  <c:v>36.052624351552076</c:v>
                </c:pt>
                <c:pt idx="221">
                  <c:v>35.798471952285468</c:v>
                </c:pt>
                <c:pt idx="222">
                  <c:v>36.412676790003268</c:v>
                </c:pt>
                <c:pt idx="223">
                  <c:v>36.506810531957591</c:v>
                </c:pt>
                <c:pt idx="224">
                  <c:v>36.578072477246756</c:v>
                </c:pt>
                <c:pt idx="225">
                  <c:v>36.700887931633723</c:v>
                </c:pt>
                <c:pt idx="226">
                  <c:v>37.283719095899094</c:v>
                </c:pt>
                <c:pt idx="227">
                  <c:v>37.821026898887638</c:v>
                </c:pt>
                <c:pt idx="228">
                  <c:v>38.581345670009313</c:v>
                </c:pt>
                <c:pt idx="229">
                  <c:v>38.683711243694006</c:v>
                </c:pt>
                <c:pt idx="230">
                  <c:v>38.478220255592156</c:v>
                </c:pt>
                <c:pt idx="231">
                  <c:v>39.355194871566539</c:v>
                </c:pt>
                <c:pt idx="232">
                  <c:v>38.961382085846928</c:v>
                </c:pt>
                <c:pt idx="233">
                  <c:v>39.179479941503637</c:v>
                </c:pt>
                <c:pt idx="234">
                  <c:v>39.79272642315825</c:v>
                </c:pt>
                <c:pt idx="235">
                  <c:v>39.080435530451197</c:v>
                </c:pt>
                <c:pt idx="236">
                  <c:v>39.851753993722902</c:v>
                </c:pt>
                <c:pt idx="237">
                  <c:v>40.284803975981674</c:v>
                </c:pt>
                <c:pt idx="238">
                  <c:v>40.027494785429262</c:v>
                </c:pt>
                <c:pt idx="239">
                  <c:v>40.207249370883986</c:v>
                </c:pt>
                <c:pt idx="240">
                  <c:v>40.290588890484848</c:v>
                </c:pt>
                <c:pt idx="241">
                  <c:v>40.372567926629685</c:v>
                </c:pt>
                <c:pt idx="242">
                  <c:v>40.639925598860373</c:v>
                </c:pt>
                <c:pt idx="243">
                  <c:v>40.107545692561544</c:v>
                </c:pt>
                <c:pt idx="244">
                  <c:v>40.421622667357134</c:v>
                </c:pt>
                <c:pt idx="245">
                  <c:v>39.995049320897174</c:v>
                </c:pt>
                <c:pt idx="246">
                  <c:v>40.053481574087513</c:v>
                </c:pt>
                <c:pt idx="247">
                  <c:v>40.776118105911792</c:v>
                </c:pt>
                <c:pt idx="248">
                  <c:v>40.032352260295681</c:v>
                </c:pt>
                <c:pt idx="249">
                  <c:v>40.119235114879515</c:v>
                </c:pt>
                <c:pt idx="250">
                  <c:v>40.986119490418972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E4-4331-A5BB-019BCA091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937824"/>
        <c:axId val="1893935904"/>
      </c:lineChart>
      <c:catAx>
        <c:axId val="189393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935904"/>
        <c:crosses val="autoZero"/>
        <c:auto val="1"/>
        <c:lblAlgn val="ctr"/>
        <c:lblOffset val="100"/>
        <c:noMultiLvlLbl val="0"/>
      </c:catAx>
      <c:valAx>
        <c:axId val="189393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93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[4]Sheet1!$A$11:$A$261</c:f>
              <c:numCache>
                <c:formatCode>General</c:formatCode>
                <c:ptCount val="2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</c:numCache>
            </c:numRef>
          </c:xVal>
          <c:yVal>
            <c:numRef>
              <c:f>[4]Sheet1!$J$11:$J$261</c:f>
              <c:numCache>
                <c:formatCode>General</c:formatCode>
                <c:ptCount val="251"/>
                <c:pt idx="0">
                  <c:v>35</c:v>
                </c:pt>
                <c:pt idx="1">
                  <c:v>34.911939703447146</c:v>
                </c:pt>
                <c:pt idx="2">
                  <c:v>34.441391626407452</c:v>
                </c:pt>
                <c:pt idx="3">
                  <c:v>34.041343993813797</c:v>
                </c:pt>
                <c:pt idx="4">
                  <c:v>34.45731318080658</c:v>
                </c:pt>
                <c:pt idx="5">
                  <c:v>35.635616015427274</c:v>
                </c:pt>
                <c:pt idx="6">
                  <c:v>35.768240798667364</c:v>
                </c:pt>
                <c:pt idx="7">
                  <c:v>35.872888214835115</c:v>
                </c:pt>
                <c:pt idx="8">
                  <c:v>35.624382571555806</c:v>
                </c:pt>
                <c:pt idx="9">
                  <c:v>35.963710609987672</c:v>
                </c:pt>
                <c:pt idx="10">
                  <c:v>36.319098886287733</c:v>
                </c:pt>
                <c:pt idx="11">
                  <c:v>36.425655346400788</c:v>
                </c:pt>
                <c:pt idx="12">
                  <c:v>37.145244638848091</c:v>
                </c:pt>
                <c:pt idx="13">
                  <c:v>37.459988421852664</c:v>
                </c:pt>
                <c:pt idx="14">
                  <c:v>37.003089502919586</c:v>
                </c:pt>
                <c:pt idx="15">
                  <c:v>36.359460886396846</c:v>
                </c:pt>
                <c:pt idx="16">
                  <c:v>37.056241153675039</c:v>
                </c:pt>
                <c:pt idx="17">
                  <c:v>37.536576982987903</c:v>
                </c:pt>
                <c:pt idx="18">
                  <c:v>37.231139106473037</c:v>
                </c:pt>
                <c:pt idx="19">
                  <c:v>36.672419234342193</c:v>
                </c:pt>
                <c:pt idx="20">
                  <c:v>37.438418280723106</c:v>
                </c:pt>
                <c:pt idx="21">
                  <c:v>37.085533242548692</c:v>
                </c:pt>
                <c:pt idx="22">
                  <c:v>36.290612828008719</c:v>
                </c:pt>
                <c:pt idx="23">
                  <c:v>36.340905071115216</c:v>
                </c:pt>
                <c:pt idx="24">
                  <c:v>36.061351071348582</c:v>
                </c:pt>
                <c:pt idx="25">
                  <c:v>35.576177424884008</c:v>
                </c:pt>
                <c:pt idx="26">
                  <c:v>35.728175264197425</c:v>
                </c:pt>
                <c:pt idx="27">
                  <c:v>36.047557488570746</c:v>
                </c:pt>
                <c:pt idx="28">
                  <c:v>36.792250768903479</c:v>
                </c:pt>
                <c:pt idx="29">
                  <c:v>36.898904122225176</c:v>
                </c:pt>
                <c:pt idx="30">
                  <c:v>36.758913385275356</c:v>
                </c:pt>
                <c:pt idx="31">
                  <c:v>36.747600939038094</c:v>
                </c:pt>
                <c:pt idx="32">
                  <c:v>36.506251156576937</c:v>
                </c:pt>
                <c:pt idx="33">
                  <c:v>36.44625378965894</c:v>
                </c:pt>
                <c:pt idx="34">
                  <c:v>36.482572073176179</c:v>
                </c:pt>
                <c:pt idx="35">
                  <c:v>36.486026440314525</c:v>
                </c:pt>
                <c:pt idx="36">
                  <c:v>36.570417126770224</c:v>
                </c:pt>
                <c:pt idx="37">
                  <c:v>35.991965910913372</c:v>
                </c:pt>
                <c:pt idx="38">
                  <c:v>36.056126401253877</c:v>
                </c:pt>
                <c:pt idx="39">
                  <c:v>36.110356282103353</c:v>
                </c:pt>
                <c:pt idx="40">
                  <c:v>36.227674186784121</c:v>
                </c:pt>
                <c:pt idx="41">
                  <c:v>35.895005638871218</c:v>
                </c:pt>
                <c:pt idx="42">
                  <c:v>36.313960739795377</c:v>
                </c:pt>
                <c:pt idx="43">
                  <c:v>36.726816287222441</c:v>
                </c:pt>
                <c:pt idx="44">
                  <c:v>36.509863845464501</c:v>
                </c:pt>
                <c:pt idx="45">
                  <c:v>35.419579210203501</c:v>
                </c:pt>
                <c:pt idx="46">
                  <c:v>34.928992801428407</c:v>
                </c:pt>
                <c:pt idx="47">
                  <c:v>35.280659587070133</c:v>
                </c:pt>
                <c:pt idx="48">
                  <c:v>35.269226767305575</c:v>
                </c:pt>
                <c:pt idx="49">
                  <c:v>34.8244039976313</c:v>
                </c:pt>
                <c:pt idx="50">
                  <c:v>35.652334934884806</c:v>
                </c:pt>
                <c:pt idx="51">
                  <c:v>36.751089091030813</c:v>
                </c:pt>
                <c:pt idx="52">
                  <c:v>36.750880520278969</c:v>
                </c:pt>
                <c:pt idx="53">
                  <c:v>35.861439889403343</c:v>
                </c:pt>
                <c:pt idx="54">
                  <c:v>35.779464552939331</c:v>
                </c:pt>
                <c:pt idx="55">
                  <c:v>35.442272101991037</c:v>
                </c:pt>
                <c:pt idx="56">
                  <c:v>35.250583673996751</c:v>
                </c:pt>
                <c:pt idx="57">
                  <c:v>35.833691848490247</c:v>
                </c:pt>
                <c:pt idx="58">
                  <c:v>35.364972386643934</c:v>
                </c:pt>
                <c:pt idx="59">
                  <c:v>35.307460971376898</c:v>
                </c:pt>
                <c:pt idx="60">
                  <c:v>34.451175101315378</c:v>
                </c:pt>
                <c:pt idx="61">
                  <c:v>34.297206562840387</c:v>
                </c:pt>
                <c:pt idx="62">
                  <c:v>34.173226500661357</c:v>
                </c:pt>
                <c:pt idx="63">
                  <c:v>34.219605623332228</c:v>
                </c:pt>
                <c:pt idx="64">
                  <c:v>34.514746462188313</c:v>
                </c:pt>
                <c:pt idx="65">
                  <c:v>34.111533506777</c:v>
                </c:pt>
                <c:pt idx="66">
                  <c:v>34.159457673536856</c:v>
                </c:pt>
                <c:pt idx="67">
                  <c:v>33.964925353426025</c:v>
                </c:pt>
                <c:pt idx="68">
                  <c:v>33.272598298895247</c:v>
                </c:pt>
                <c:pt idx="69">
                  <c:v>33.435478729267977</c:v>
                </c:pt>
                <c:pt idx="70">
                  <c:v>33.832382161331218</c:v>
                </c:pt>
                <c:pt idx="71">
                  <c:v>33.971457209982248</c:v>
                </c:pt>
                <c:pt idx="72">
                  <c:v>33.941450335267426</c:v>
                </c:pt>
                <c:pt idx="73">
                  <c:v>33.705088491072203</c:v>
                </c:pt>
                <c:pt idx="74">
                  <c:v>34.249807177740713</c:v>
                </c:pt>
                <c:pt idx="75">
                  <c:v>34.043908336292212</c:v>
                </c:pt>
                <c:pt idx="76">
                  <c:v>33.797634990759164</c:v>
                </c:pt>
                <c:pt idx="77">
                  <c:v>33.989411704050006</c:v>
                </c:pt>
                <c:pt idx="78">
                  <c:v>34.344786380750804</c:v>
                </c:pt>
                <c:pt idx="79">
                  <c:v>34.682197552788914</c:v>
                </c:pt>
                <c:pt idx="80">
                  <c:v>34.385469163787896</c:v>
                </c:pt>
                <c:pt idx="81">
                  <c:v>34.95544124740951</c:v>
                </c:pt>
                <c:pt idx="82">
                  <c:v>35.101861886646915</c:v>
                </c:pt>
                <c:pt idx="83">
                  <c:v>35.985907824681732</c:v>
                </c:pt>
                <c:pt idx="84">
                  <c:v>36.074459487936359</c:v>
                </c:pt>
                <c:pt idx="85">
                  <c:v>35.977465171011218</c:v>
                </c:pt>
                <c:pt idx="86">
                  <c:v>35.684638015242655</c:v>
                </c:pt>
                <c:pt idx="87">
                  <c:v>35.604306570413264</c:v>
                </c:pt>
                <c:pt idx="88">
                  <c:v>35.106328451256793</c:v>
                </c:pt>
                <c:pt idx="89">
                  <c:v>35.759510590283092</c:v>
                </c:pt>
                <c:pt idx="90">
                  <c:v>35.927960413864703</c:v>
                </c:pt>
                <c:pt idx="91">
                  <c:v>35.746912177032399</c:v>
                </c:pt>
                <c:pt idx="92">
                  <c:v>35.390389296334185</c:v>
                </c:pt>
                <c:pt idx="93">
                  <c:v>35.992191539784422</c:v>
                </c:pt>
                <c:pt idx="94">
                  <c:v>36.167791562663837</c:v>
                </c:pt>
                <c:pt idx="95">
                  <c:v>37.107806933540402</c:v>
                </c:pt>
                <c:pt idx="96">
                  <c:v>36.948426802711879</c:v>
                </c:pt>
                <c:pt idx="97">
                  <c:v>36.836743851810262</c:v>
                </c:pt>
                <c:pt idx="98">
                  <c:v>36.5717002606739</c:v>
                </c:pt>
                <c:pt idx="99">
                  <c:v>35.900116228154666</c:v>
                </c:pt>
                <c:pt idx="100">
                  <c:v>35.829226200569707</c:v>
                </c:pt>
                <c:pt idx="101">
                  <c:v>35.928972959695777</c:v>
                </c:pt>
                <c:pt idx="102">
                  <c:v>37.105701810623891</c:v>
                </c:pt>
                <c:pt idx="103">
                  <c:v>37.111563281071</c:v>
                </c:pt>
                <c:pt idx="104">
                  <c:v>37.593078867280404</c:v>
                </c:pt>
                <c:pt idx="105">
                  <c:v>37.617649998852698</c:v>
                </c:pt>
                <c:pt idx="106">
                  <c:v>37.648549649988652</c:v>
                </c:pt>
                <c:pt idx="107">
                  <c:v>37.793075448480558</c:v>
                </c:pt>
                <c:pt idx="108">
                  <c:v>38.076425823671904</c:v>
                </c:pt>
                <c:pt idx="109">
                  <c:v>38.597068729249585</c:v>
                </c:pt>
                <c:pt idx="110">
                  <c:v>38.654645672695629</c:v>
                </c:pt>
                <c:pt idx="111">
                  <c:v>38.323454735791877</c:v>
                </c:pt>
                <c:pt idx="112">
                  <c:v>38.111772366182755</c:v>
                </c:pt>
                <c:pt idx="113">
                  <c:v>37.585825227967725</c:v>
                </c:pt>
                <c:pt idx="114">
                  <c:v>37.696534464181809</c:v>
                </c:pt>
                <c:pt idx="115">
                  <c:v>37.443180064338783</c:v>
                </c:pt>
                <c:pt idx="116">
                  <c:v>37.472893396934445</c:v>
                </c:pt>
                <c:pt idx="117">
                  <c:v>37.626163494467939</c:v>
                </c:pt>
                <c:pt idx="118">
                  <c:v>37.60659410475219</c:v>
                </c:pt>
                <c:pt idx="119">
                  <c:v>38.160074006398112</c:v>
                </c:pt>
                <c:pt idx="120">
                  <c:v>38.350318680015384</c:v>
                </c:pt>
                <c:pt idx="121">
                  <c:v>38.011044853307354</c:v>
                </c:pt>
                <c:pt idx="122">
                  <c:v>38.272873405914687</c:v>
                </c:pt>
                <c:pt idx="123">
                  <c:v>37.943664473134824</c:v>
                </c:pt>
                <c:pt idx="124">
                  <c:v>37.758114256413421</c:v>
                </c:pt>
                <c:pt idx="125">
                  <c:v>37.77673490649898</c:v>
                </c:pt>
                <c:pt idx="126">
                  <c:v>37.382981452603616</c:v>
                </c:pt>
                <c:pt idx="127">
                  <c:v>38.147479334576751</c:v>
                </c:pt>
                <c:pt idx="128">
                  <c:v>37.950721299516367</c:v>
                </c:pt>
                <c:pt idx="129">
                  <c:v>38.409437504592944</c:v>
                </c:pt>
                <c:pt idx="130">
                  <c:v>38.157941713711224</c:v>
                </c:pt>
                <c:pt idx="131">
                  <c:v>38.348436370731868</c:v>
                </c:pt>
                <c:pt idx="132">
                  <c:v>37.661387623491088</c:v>
                </c:pt>
                <c:pt idx="133">
                  <c:v>37.502409852007027</c:v>
                </c:pt>
                <c:pt idx="134">
                  <c:v>38.253280762689279</c:v>
                </c:pt>
                <c:pt idx="135">
                  <c:v>38.444280737856893</c:v>
                </c:pt>
                <c:pt idx="136">
                  <c:v>39.568041094958005</c:v>
                </c:pt>
                <c:pt idx="137">
                  <c:v>39.446602138538836</c:v>
                </c:pt>
                <c:pt idx="138">
                  <c:v>39.097885368580222</c:v>
                </c:pt>
                <c:pt idx="139">
                  <c:v>39.367121489466207</c:v>
                </c:pt>
                <c:pt idx="140">
                  <c:v>39.17569117375767</c:v>
                </c:pt>
                <c:pt idx="141">
                  <c:v>38.935400218073511</c:v>
                </c:pt>
                <c:pt idx="142">
                  <c:v>39.148969359293801</c:v>
                </c:pt>
                <c:pt idx="143">
                  <c:v>39.210571327968907</c:v>
                </c:pt>
                <c:pt idx="144">
                  <c:v>39.32291055574899</c:v>
                </c:pt>
                <c:pt idx="145">
                  <c:v>39.17357386448176</c:v>
                </c:pt>
                <c:pt idx="146">
                  <c:v>38.705440812527662</c:v>
                </c:pt>
                <c:pt idx="147">
                  <c:v>39.025936569094497</c:v>
                </c:pt>
                <c:pt idx="148">
                  <c:v>39.071080538810101</c:v>
                </c:pt>
                <c:pt idx="149">
                  <c:v>38.434536897526201</c:v>
                </c:pt>
                <c:pt idx="150">
                  <c:v>38.793852884046942</c:v>
                </c:pt>
                <c:pt idx="151">
                  <c:v>39.388620576876953</c:v>
                </c:pt>
                <c:pt idx="152">
                  <c:v>39.334334620550372</c:v>
                </c:pt>
                <c:pt idx="153">
                  <c:v>39.193932001302265</c:v>
                </c:pt>
                <c:pt idx="154">
                  <c:v>39.513497149033242</c:v>
                </c:pt>
                <c:pt idx="155">
                  <c:v>39.282381161006825</c:v>
                </c:pt>
                <c:pt idx="156">
                  <c:v>39.044256195752908</c:v>
                </c:pt>
                <c:pt idx="157">
                  <c:v>39.561515048468394</c:v>
                </c:pt>
                <c:pt idx="158">
                  <c:v>39.31216351607258</c:v>
                </c:pt>
                <c:pt idx="159">
                  <c:v>40.011019685253608</c:v>
                </c:pt>
                <c:pt idx="160">
                  <c:v>41.17394177144633</c:v>
                </c:pt>
                <c:pt idx="161">
                  <c:v>41.275168807856879</c:v>
                </c:pt>
                <c:pt idx="162">
                  <c:v>41.675995513240814</c:v>
                </c:pt>
                <c:pt idx="163">
                  <c:v>41.654983109108109</c:v>
                </c:pt>
                <c:pt idx="164">
                  <c:v>41.885749379710163</c:v>
                </c:pt>
                <c:pt idx="165">
                  <c:v>41.900408550663457</c:v>
                </c:pt>
                <c:pt idx="166">
                  <c:v>41.328236635281094</c:v>
                </c:pt>
                <c:pt idx="167">
                  <c:v>41.91849657078987</c:v>
                </c:pt>
                <c:pt idx="168">
                  <c:v>41.084629046491109</c:v>
                </c:pt>
                <c:pt idx="169">
                  <c:v>41.51843874596301</c:v>
                </c:pt>
                <c:pt idx="170">
                  <c:v>40.68807094229652</c:v>
                </c:pt>
                <c:pt idx="171">
                  <c:v>40.816265294029826</c:v>
                </c:pt>
                <c:pt idx="172">
                  <c:v>40.862089428027708</c:v>
                </c:pt>
                <c:pt idx="173">
                  <c:v>40.939182160831805</c:v>
                </c:pt>
                <c:pt idx="174">
                  <c:v>40.904406080677362</c:v>
                </c:pt>
                <c:pt idx="175">
                  <c:v>40.137923897394536</c:v>
                </c:pt>
                <c:pt idx="176">
                  <c:v>40.303524146791993</c:v>
                </c:pt>
                <c:pt idx="177">
                  <c:v>40.682582913697317</c:v>
                </c:pt>
                <c:pt idx="178">
                  <c:v>40.58260481518932</c:v>
                </c:pt>
                <c:pt idx="179">
                  <c:v>41.088774183853197</c:v>
                </c:pt>
                <c:pt idx="180">
                  <c:v>40.123224569949045</c:v>
                </c:pt>
                <c:pt idx="181">
                  <c:v>39.475730721175339</c:v>
                </c:pt>
                <c:pt idx="182">
                  <c:v>40.130809696811376</c:v>
                </c:pt>
                <c:pt idx="183">
                  <c:v>41.079645408396914</c:v>
                </c:pt>
                <c:pt idx="184">
                  <c:v>41.919482678710715</c:v>
                </c:pt>
                <c:pt idx="185">
                  <c:v>41.630965415487132</c:v>
                </c:pt>
                <c:pt idx="186">
                  <c:v>42.200997043826597</c:v>
                </c:pt>
                <c:pt idx="187">
                  <c:v>42.340994828549569</c:v>
                </c:pt>
                <c:pt idx="188">
                  <c:v>42.912031977501165</c:v>
                </c:pt>
                <c:pt idx="189">
                  <c:v>42.759805057045931</c:v>
                </c:pt>
                <c:pt idx="190">
                  <c:v>43.258778552081502</c:v>
                </c:pt>
                <c:pt idx="191">
                  <c:v>43.427337972334804</c:v>
                </c:pt>
                <c:pt idx="192">
                  <c:v>43.78099547547049</c:v>
                </c:pt>
                <c:pt idx="193">
                  <c:v>44.304362431996815</c:v>
                </c:pt>
                <c:pt idx="194">
                  <c:v>43.21284279142926</c:v>
                </c:pt>
                <c:pt idx="195">
                  <c:v>42.924589543665171</c:v>
                </c:pt>
                <c:pt idx="196">
                  <c:v>42.910452257238099</c:v>
                </c:pt>
                <c:pt idx="197">
                  <c:v>43.496971259581478</c:v>
                </c:pt>
                <c:pt idx="198">
                  <c:v>42.55772684296592</c:v>
                </c:pt>
                <c:pt idx="199">
                  <c:v>43.206123814619041</c:v>
                </c:pt>
                <c:pt idx="200">
                  <c:v>43.218983916988236</c:v>
                </c:pt>
                <c:pt idx="201">
                  <c:v>44.259502756889198</c:v>
                </c:pt>
                <c:pt idx="202">
                  <c:v>44.661419263901507</c:v>
                </c:pt>
                <c:pt idx="203">
                  <c:v>44.612118253507624</c:v>
                </c:pt>
                <c:pt idx="204">
                  <c:v>43.833281929711362</c:v>
                </c:pt>
                <c:pt idx="205">
                  <c:v>44.711646863733513</c:v>
                </c:pt>
                <c:pt idx="206">
                  <c:v>44.957244199322041</c:v>
                </c:pt>
                <c:pt idx="207">
                  <c:v>44.724523636100237</c:v>
                </c:pt>
                <c:pt idx="208">
                  <c:v>44.975764966612402</c:v>
                </c:pt>
                <c:pt idx="209">
                  <c:v>45.269736205325117</c:v>
                </c:pt>
                <c:pt idx="210">
                  <c:v>45.742685413148337</c:v>
                </c:pt>
                <c:pt idx="211">
                  <c:v>45.902059792736061</c:v>
                </c:pt>
                <c:pt idx="212">
                  <c:v>44.866740095550192</c:v>
                </c:pt>
                <c:pt idx="213">
                  <c:v>44.078344607696003</c:v>
                </c:pt>
                <c:pt idx="214">
                  <c:v>44.249148835280465</c:v>
                </c:pt>
                <c:pt idx="215">
                  <c:v>44.04392709138159</c:v>
                </c:pt>
                <c:pt idx="216">
                  <c:v>44.321282896407844</c:v>
                </c:pt>
                <c:pt idx="217">
                  <c:v>44.603921700827478</c:v>
                </c:pt>
                <c:pt idx="218">
                  <c:v>44.197988218502488</c:v>
                </c:pt>
                <c:pt idx="219">
                  <c:v>44.506626287194905</c:v>
                </c:pt>
                <c:pt idx="220">
                  <c:v>43.536799496803781</c:v>
                </c:pt>
                <c:pt idx="221">
                  <c:v>44.030861288339416</c:v>
                </c:pt>
                <c:pt idx="222">
                  <c:v>44.143551350467334</c:v>
                </c:pt>
                <c:pt idx="223">
                  <c:v>44.477655024570332</c:v>
                </c:pt>
                <c:pt idx="224">
                  <c:v>44.992751284026809</c:v>
                </c:pt>
                <c:pt idx="225">
                  <c:v>44.816749150132154</c:v>
                </c:pt>
                <c:pt idx="226">
                  <c:v>45.062534027733015</c:v>
                </c:pt>
                <c:pt idx="227">
                  <c:v>44.811520033508756</c:v>
                </c:pt>
                <c:pt idx="228">
                  <c:v>45.788193029680194</c:v>
                </c:pt>
                <c:pt idx="229">
                  <c:v>45.522561325128351</c:v>
                </c:pt>
                <c:pt idx="230">
                  <c:v>46.020469757790295</c:v>
                </c:pt>
                <c:pt idx="231">
                  <c:v>45.457237218562184</c:v>
                </c:pt>
                <c:pt idx="232">
                  <c:v>43.793967232188798</c:v>
                </c:pt>
                <c:pt idx="233">
                  <c:v>43.824026731578684</c:v>
                </c:pt>
                <c:pt idx="234">
                  <c:v>43.993419201866779</c:v>
                </c:pt>
                <c:pt idx="235">
                  <c:v>43.75854615867523</c:v>
                </c:pt>
                <c:pt idx="236">
                  <c:v>43.380529899503479</c:v>
                </c:pt>
                <c:pt idx="237">
                  <c:v>43.340088928826049</c:v>
                </c:pt>
                <c:pt idx="238">
                  <c:v>43.163299444373351</c:v>
                </c:pt>
                <c:pt idx="239">
                  <c:v>43.818001611366142</c:v>
                </c:pt>
                <c:pt idx="240">
                  <c:v>44.20526493426172</c:v>
                </c:pt>
                <c:pt idx="241">
                  <c:v>45.125356334988176</c:v>
                </c:pt>
                <c:pt idx="242">
                  <c:v>44.797400461549586</c:v>
                </c:pt>
                <c:pt idx="243">
                  <c:v>44.842701951965495</c:v>
                </c:pt>
                <c:pt idx="244">
                  <c:v>43.707294830409978</c:v>
                </c:pt>
                <c:pt idx="245">
                  <c:v>44.817787428143973</c:v>
                </c:pt>
                <c:pt idx="246">
                  <c:v>46.405265131692431</c:v>
                </c:pt>
                <c:pt idx="247">
                  <c:v>46.537720954681468</c:v>
                </c:pt>
                <c:pt idx="248">
                  <c:v>46.944743533633265</c:v>
                </c:pt>
                <c:pt idx="249">
                  <c:v>46.791487381403051</c:v>
                </c:pt>
                <c:pt idx="250">
                  <c:v>47.10022869838788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CF-4430-80C3-8AE7C09F5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511192"/>
        <c:axId val="457506880"/>
      </c:scatterChart>
      <c:valAx>
        <c:axId val="457511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506880"/>
        <c:crosses val="autoZero"/>
        <c:crossBetween val="midCat"/>
      </c:valAx>
      <c:valAx>
        <c:axId val="45750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511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184218</xdr:rowOff>
    </xdr:from>
    <xdr:to>
      <xdr:col>18</xdr:col>
      <xdr:colOff>209341</xdr:colOff>
      <xdr:row>26</xdr:row>
      <xdr:rowOff>150724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0E66FB-2531-44F0-AAFA-8AF3AECEC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3</xdr:row>
      <xdr:rowOff>3810</xdr:rowOff>
    </xdr:from>
    <xdr:to>
      <xdr:col>15</xdr:col>
      <xdr:colOff>403860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034DF5-2E0D-4777-A040-947578460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1</xdr:row>
      <xdr:rowOff>179070</xdr:rowOff>
    </xdr:from>
    <xdr:to>
      <xdr:col>15</xdr:col>
      <xdr:colOff>601980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BAB0EA-4EEC-446A-A09C-2CD81989F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2</xdr:row>
      <xdr:rowOff>7620</xdr:rowOff>
    </xdr:from>
    <xdr:to>
      <xdr:col>17</xdr:col>
      <xdr:colOff>601980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137520-646C-4241-955A-6B7C3AF6A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112059</xdr:colOff>
      <xdr:row>8</xdr:row>
      <xdr:rowOff>146797</xdr:rowOff>
    </xdr:from>
    <xdr:to>
      <xdr:col>20</xdr:col>
      <xdr:colOff>448235</xdr:colOff>
      <xdr:row>23</xdr:row>
      <xdr:rowOff>32497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DAC206-9305-41C6-86BF-B07EBE466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Practical_5_08_02_2026.xlsx" TargetMode="External"/><Relationship Id="rId1" Type="http://schemas.openxmlformats.org/officeDocument/2006/relationships/externalLinkPath" Target="Practical_5_08_02_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Practical_6_09_03_2026.xlsx" TargetMode="External"/><Relationship Id="rId1" Type="http://schemas.openxmlformats.org/officeDocument/2006/relationships/externalLinkPath" Target="Practical_6_09_03_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Practical_8_23_03_2026.xlsx" TargetMode="External"/><Relationship Id="rId1" Type="http://schemas.openxmlformats.org/officeDocument/2006/relationships/externalLinkPath" Target="Practical_8_23_03_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Aman%20pr%209%20(1).xlsx" TargetMode="External"/><Relationship Id="rId1" Type="http://schemas.openxmlformats.org/officeDocument/2006/relationships/externalLinkPath" Target="Aman%20pr%209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8">
          <cell r="C8">
            <v>60</v>
          </cell>
          <cell r="F8">
            <v>-40</v>
          </cell>
        </row>
        <row r="9">
          <cell r="C9">
            <v>70</v>
          </cell>
          <cell r="F9">
            <v>-30</v>
          </cell>
        </row>
        <row r="10">
          <cell r="C10">
            <v>80</v>
          </cell>
          <cell r="F10">
            <v>-20</v>
          </cell>
        </row>
        <row r="11">
          <cell r="C11">
            <v>90</v>
          </cell>
          <cell r="F11">
            <v>-10</v>
          </cell>
        </row>
        <row r="12">
          <cell r="C12">
            <v>100</v>
          </cell>
          <cell r="F12">
            <v>0</v>
          </cell>
        </row>
        <row r="13">
          <cell r="C13">
            <v>110</v>
          </cell>
          <cell r="F13">
            <v>10</v>
          </cell>
        </row>
        <row r="14">
          <cell r="C14">
            <v>120</v>
          </cell>
          <cell r="F14">
            <v>20</v>
          </cell>
        </row>
        <row r="15">
          <cell r="C15">
            <v>130</v>
          </cell>
          <cell r="F15">
            <v>30</v>
          </cell>
        </row>
        <row r="16">
          <cell r="C16">
            <v>140</v>
          </cell>
          <cell r="F16">
            <v>30</v>
          </cell>
        </row>
        <row r="17">
          <cell r="C17">
            <v>150</v>
          </cell>
          <cell r="F17">
            <v>30</v>
          </cell>
        </row>
        <row r="18">
          <cell r="C18">
            <v>160</v>
          </cell>
          <cell r="F18">
            <v>30</v>
          </cell>
        </row>
        <row r="19">
          <cell r="C19">
            <v>170</v>
          </cell>
          <cell r="F19">
            <v>30</v>
          </cell>
        </row>
        <row r="20">
          <cell r="C20">
            <v>180</v>
          </cell>
          <cell r="F20">
            <v>30</v>
          </cell>
        </row>
        <row r="21">
          <cell r="C21">
            <v>190</v>
          </cell>
          <cell r="F21">
            <v>30</v>
          </cell>
        </row>
        <row r="22">
          <cell r="C22">
            <v>200</v>
          </cell>
          <cell r="F22">
            <v>30</v>
          </cell>
        </row>
        <row r="23">
          <cell r="C23">
            <v>210</v>
          </cell>
          <cell r="F23">
            <v>30</v>
          </cell>
        </row>
        <row r="24">
          <cell r="C24">
            <v>220</v>
          </cell>
          <cell r="F24">
            <v>30</v>
          </cell>
        </row>
        <row r="25">
          <cell r="C25">
            <v>230</v>
          </cell>
          <cell r="F25">
            <v>30</v>
          </cell>
        </row>
        <row r="26">
          <cell r="C26">
            <v>240</v>
          </cell>
          <cell r="F26">
            <v>30</v>
          </cell>
        </row>
        <row r="27">
          <cell r="C27">
            <v>250</v>
          </cell>
          <cell r="F27">
            <v>30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tective Put"/>
      <sheetName val="Bull Spread"/>
      <sheetName val="Bear Spread"/>
    </sheetNames>
    <sheetDataSet>
      <sheetData sheetId="0">
        <row r="8">
          <cell r="E8" t="str">
            <v>Total Profit</v>
          </cell>
        </row>
        <row r="9">
          <cell r="B9">
            <v>30</v>
          </cell>
          <cell r="E9">
            <v>-65</v>
          </cell>
        </row>
        <row r="10">
          <cell r="B10">
            <v>40</v>
          </cell>
          <cell r="E10">
            <v>-65</v>
          </cell>
        </row>
        <row r="11">
          <cell r="B11">
            <v>50</v>
          </cell>
          <cell r="E11">
            <v>-65</v>
          </cell>
        </row>
        <row r="12">
          <cell r="B12">
            <v>60</v>
          </cell>
          <cell r="E12">
            <v>-65</v>
          </cell>
        </row>
        <row r="13">
          <cell r="B13">
            <v>70</v>
          </cell>
          <cell r="E13">
            <v>-55</v>
          </cell>
        </row>
        <row r="14">
          <cell r="B14">
            <v>80</v>
          </cell>
          <cell r="E14">
            <v>-45</v>
          </cell>
        </row>
        <row r="15">
          <cell r="B15">
            <v>90</v>
          </cell>
          <cell r="E15">
            <v>-35</v>
          </cell>
        </row>
        <row r="16">
          <cell r="B16">
            <v>100</v>
          </cell>
          <cell r="E16">
            <v>-25</v>
          </cell>
        </row>
        <row r="17">
          <cell r="B17">
            <v>110</v>
          </cell>
          <cell r="E17">
            <v>-15</v>
          </cell>
        </row>
        <row r="18">
          <cell r="B18">
            <v>120</v>
          </cell>
          <cell r="E18">
            <v>-5</v>
          </cell>
        </row>
        <row r="19">
          <cell r="B19">
            <v>130</v>
          </cell>
          <cell r="E19">
            <v>5</v>
          </cell>
        </row>
        <row r="20">
          <cell r="B20">
            <v>140</v>
          </cell>
          <cell r="E20">
            <v>15</v>
          </cell>
        </row>
        <row r="21">
          <cell r="B21">
            <v>150</v>
          </cell>
          <cell r="E21">
            <v>25</v>
          </cell>
        </row>
        <row r="22">
          <cell r="B22">
            <v>160</v>
          </cell>
          <cell r="E22">
            <v>35</v>
          </cell>
        </row>
        <row r="23">
          <cell r="B23">
            <v>170</v>
          </cell>
          <cell r="E23">
            <v>45</v>
          </cell>
        </row>
        <row r="24">
          <cell r="B24">
            <v>180</v>
          </cell>
          <cell r="E24">
            <v>55</v>
          </cell>
        </row>
        <row r="25">
          <cell r="B25">
            <v>190</v>
          </cell>
          <cell r="E25">
            <v>65</v>
          </cell>
        </row>
        <row r="26">
          <cell r="B26">
            <v>200</v>
          </cell>
          <cell r="E26">
            <v>75</v>
          </cell>
        </row>
        <row r="27">
          <cell r="B27">
            <v>210</v>
          </cell>
          <cell r="E27">
            <v>85</v>
          </cell>
        </row>
        <row r="28">
          <cell r="B28">
            <v>220</v>
          </cell>
          <cell r="E28">
            <v>95</v>
          </cell>
        </row>
        <row r="29">
          <cell r="B29">
            <v>230</v>
          </cell>
          <cell r="E29">
            <v>105</v>
          </cell>
        </row>
        <row r="30">
          <cell r="B30">
            <v>240</v>
          </cell>
          <cell r="E30">
            <v>115</v>
          </cell>
        </row>
        <row r="31">
          <cell r="B31">
            <v>250</v>
          </cell>
          <cell r="E31">
            <v>125</v>
          </cell>
        </row>
      </sheetData>
      <sheetData sheetId="1">
        <row r="8">
          <cell r="E8" t="str">
            <v>Total Profit</v>
          </cell>
        </row>
        <row r="9">
          <cell r="B9">
            <v>20</v>
          </cell>
          <cell r="E9">
            <v>-2</v>
          </cell>
        </row>
        <row r="10">
          <cell r="B10">
            <v>30</v>
          </cell>
          <cell r="E10">
            <v>-2</v>
          </cell>
        </row>
        <row r="11">
          <cell r="B11">
            <v>31</v>
          </cell>
          <cell r="E11">
            <v>-1</v>
          </cell>
        </row>
        <row r="12">
          <cell r="B12">
            <v>32</v>
          </cell>
          <cell r="E12">
            <v>0</v>
          </cell>
        </row>
        <row r="13">
          <cell r="B13">
            <v>33</v>
          </cell>
          <cell r="E13">
            <v>1</v>
          </cell>
        </row>
        <row r="14">
          <cell r="B14">
            <v>34</v>
          </cell>
          <cell r="E14">
            <v>2</v>
          </cell>
        </row>
        <row r="15">
          <cell r="B15">
            <v>35</v>
          </cell>
          <cell r="E15">
            <v>3</v>
          </cell>
        </row>
        <row r="16">
          <cell r="B16">
            <v>40</v>
          </cell>
          <cell r="E16">
            <v>3</v>
          </cell>
        </row>
        <row r="17">
          <cell r="B17">
            <v>45</v>
          </cell>
          <cell r="E17">
            <v>3</v>
          </cell>
        </row>
        <row r="18">
          <cell r="B18">
            <v>50</v>
          </cell>
          <cell r="E18">
            <v>3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imulating Log Normal Pricing"/>
      <sheetName val="Estimating Volatility"/>
    </sheetNames>
    <sheetDataSet>
      <sheetData sheetId="0">
        <row r="11">
          <cell r="D11" t="str">
            <v>Log Normal Stock Price</v>
          </cell>
        </row>
        <row r="12">
          <cell r="A12">
            <v>0</v>
          </cell>
          <cell r="D12">
            <v>35</v>
          </cell>
        </row>
        <row r="13">
          <cell r="A13">
            <v>1</v>
          </cell>
          <cell r="D13">
            <v>35.600316343287318</v>
          </cell>
        </row>
        <row r="14">
          <cell r="A14">
            <v>2</v>
          </cell>
          <cell r="D14">
            <v>35.328100073547972</v>
          </cell>
        </row>
        <row r="15">
          <cell r="A15">
            <v>3</v>
          </cell>
          <cell r="D15">
            <v>35.396122562532518</v>
          </cell>
        </row>
        <row r="16">
          <cell r="A16">
            <v>4</v>
          </cell>
          <cell r="D16">
            <v>35.585530468715653</v>
          </cell>
        </row>
        <row r="17">
          <cell r="A17">
            <v>5</v>
          </cell>
          <cell r="D17">
            <v>35.840609126611852</v>
          </cell>
        </row>
        <row r="18">
          <cell r="A18">
            <v>6</v>
          </cell>
          <cell r="D18">
            <v>35.672207953343197</v>
          </cell>
        </row>
        <row r="19">
          <cell r="A19">
            <v>7</v>
          </cell>
          <cell r="D19">
            <v>35.997778567007124</v>
          </cell>
        </row>
        <row r="20">
          <cell r="A20">
            <v>8</v>
          </cell>
          <cell r="D20">
            <v>35.671942386322087</v>
          </cell>
        </row>
        <row r="21">
          <cell r="A21">
            <v>9</v>
          </cell>
          <cell r="D21">
            <v>35.683148292197551</v>
          </cell>
        </row>
        <row r="22">
          <cell r="A22">
            <v>10</v>
          </cell>
          <cell r="D22">
            <v>35.499134788463209</v>
          </cell>
        </row>
        <row r="23">
          <cell r="A23">
            <v>11</v>
          </cell>
          <cell r="D23">
            <v>35.747048410305368</v>
          </cell>
        </row>
        <row r="24">
          <cell r="A24">
            <v>12</v>
          </cell>
          <cell r="D24">
            <v>35.854223238919673</v>
          </cell>
        </row>
        <row r="25">
          <cell r="A25">
            <v>13</v>
          </cell>
          <cell r="D25">
            <v>35.322921703030509</v>
          </cell>
        </row>
        <row r="26">
          <cell r="A26">
            <v>14</v>
          </cell>
          <cell r="D26">
            <v>35.702057952042978</v>
          </cell>
        </row>
        <row r="27">
          <cell r="A27">
            <v>15</v>
          </cell>
          <cell r="D27">
            <v>36.459285627138371</v>
          </cell>
        </row>
        <row r="28">
          <cell r="A28">
            <v>16</v>
          </cell>
          <cell r="D28">
            <v>36.561558456908287</v>
          </cell>
        </row>
        <row r="29">
          <cell r="A29">
            <v>17</v>
          </cell>
          <cell r="D29">
            <v>37.307858158047722</v>
          </cell>
        </row>
        <row r="30">
          <cell r="A30">
            <v>18</v>
          </cell>
          <cell r="D30">
            <v>37.028545386912754</v>
          </cell>
        </row>
        <row r="31">
          <cell r="A31">
            <v>19</v>
          </cell>
          <cell r="D31">
            <v>37.501097307957281</v>
          </cell>
        </row>
        <row r="32">
          <cell r="A32">
            <v>20</v>
          </cell>
          <cell r="D32">
            <v>37.142678270668313</v>
          </cell>
        </row>
        <row r="33">
          <cell r="A33">
            <v>21</v>
          </cell>
          <cell r="D33">
            <v>37.743266239989985</v>
          </cell>
        </row>
        <row r="34">
          <cell r="A34">
            <v>22</v>
          </cell>
          <cell r="D34">
            <v>38.499155684571775</v>
          </cell>
        </row>
        <row r="35">
          <cell r="A35">
            <v>23</v>
          </cell>
          <cell r="D35">
            <v>38.419006097228589</v>
          </cell>
        </row>
        <row r="36">
          <cell r="A36">
            <v>24</v>
          </cell>
          <cell r="D36">
            <v>38.573696829190546</v>
          </cell>
        </row>
        <row r="37">
          <cell r="A37">
            <v>25</v>
          </cell>
          <cell r="D37">
            <v>38.092595926417609</v>
          </cell>
        </row>
        <row r="38">
          <cell r="A38">
            <v>26</v>
          </cell>
          <cell r="D38">
            <v>38.231204536979625</v>
          </cell>
        </row>
        <row r="39">
          <cell r="A39">
            <v>27</v>
          </cell>
          <cell r="D39">
            <v>38.246720127547007</v>
          </cell>
        </row>
        <row r="40">
          <cell r="A40">
            <v>28</v>
          </cell>
          <cell r="D40">
            <v>39.188674049962522</v>
          </cell>
        </row>
        <row r="41">
          <cell r="A41">
            <v>29</v>
          </cell>
          <cell r="D41">
            <v>38.939708288058902</v>
          </cell>
        </row>
        <row r="42">
          <cell r="A42">
            <v>30</v>
          </cell>
          <cell r="D42">
            <v>38.68218586598924</v>
          </cell>
        </row>
        <row r="43">
          <cell r="A43">
            <v>31</v>
          </cell>
          <cell r="D43">
            <v>38.759031444093175</v>
          </cell>
        </row>
        <row r="44">
          <cell r="A44">
            <v>32</v>
          </cell>
          <cell r="D44">
            <v>38.7247969945644</v>
          </cell>
        </row>
        <row r="45">
          <cell r="A45">
            <v>33</v>
          </cell>
          <cell r="D45">
            <v>38.281868564478764</v>
          </cell>
        </row>
        <row r="46">
          <cell r="A46">
            <v>34</v>
          </cell>
          <cell r="D46">
            <v>37.908072417050661</v>
          </cell>
        </row>
        <row r="47">
          <cell r="A47">
            <v>35</v>
          </cell>
          <cell r="D47">
            <v>38.361630635007479</v>
          </cell>
        </row>
        <row r="48">
          <cell r="A48">
            <v>36</v>
          </cell>
          <cell r="D48">
            <v>38.286340542156687</v>
          </cell>
        </row>
        <row r="49">
          <cell r="A49">
            <v>37</v>
          </cell>
          <cell r="D49">
            <v>37.710306637750413</v>
          </cell>
        </row>
        <row r="50">
          <cell r="A50">
            <v>38</v>
          </cell>
          <cell r="D50">
            <v>38.094469129590884</v>
          </cell>
        </row>
        <row r="51">
          <cell r="A51">
            <v>39</v>
          </cell>
          <cell r="D51">
            <v>39.065784509745612</v>
          </cell>
        </row>
        <row r="52">
          <cell r="A52">
            <v>40</v>
          </cell>
          <cell r="D52">
            <v>38.916194114118092</v>
          </cell>
        </row>
        <row r="53">
          <cell r="A53">
            <v>41</v>
          </cell>
          <cell r="D53">
            <v>38.918289108031445</v>
          </cell>
        </row>
        <row r="54">
          <cell r="A54">
            <v>42</v>
          </cell>
          <cell r="D54">
            <v>38.085477787061272</v>
          </cell>
        </row>
        <row r="55">
          <cell r="A55">
            <v>43</v>
          </cell>
          <cell r="D55">
            <v>38.447868851443005</v>
          </cell>
        </row>
        <row r="56">
          <cell r="A56">
            <v>44</v>
          </cell>
          <cell r="D56">
            <v>38.099760338873324</v>
          </cell>
        </row>
        <row r="57">
          <cell r="A57">
            <v>45</v>
          </cell>
          <cell r="D57">
            <v>38.321494176960833</v>
          </cell>
        </row>
        <row r="58">
          <cell r="A58">
            <v>46</v>
          </cell>
          <cell r="D58">
            <v>37.806815173039752</v>
          </cell>
        </row>
        <row r="59">
          <cell r="A59">
            <v>47</v>
          </cell>
          <cell r="D59">
            <v>37.918042544360638</v>
          </cell>
        </row>
        <row r="60">
          <cell r="A60">
            <v>48</v>
          </cell>
          <cell r="D60">
            <v>38.386604988046066</v>
          </cell>
        </row>
        <row r="61">
          <cell r="A61">
            <v>49</v>
          </cell>
          <cell r="D61">
            <v>37.645221166388637</v>
          </cell>
        </row>
        <row r="62">
          <cell r="A62">
            <v>50</v>
          </cell>
          <cell r="D62">
            <v>37.594781952220806</v>
          </cell>
        </row>
        <row r="63">
          <cell r="A63">
            <v>51</v>
          </cell>
          <cell r="D63">
            <v>37.551756432118459</v>
          </cell>
        </row>
        <row r="64">
          <cell r="A64">
            <v>52</v>
          </cell>
          <cell r="D64">
            <v>36.920641799016948</v>
          </cell>
        </row>
        <row r="65">
          <cell r="A65">
            <v>53</v>
          </cell>
          <cell r="D65">
            <v>37.416280130406051</v>
          </cell>
        </row>
        <row r="66">
          <cell r="A66">
            <v>54</v>
          </cell>
          <cell r="D66">
            <v>37.104618232471047</v>
          </cell>
        </row>
        <row r="67">
          <cell r="A67">
            <v>55</v>
          </cell>
          <cell r="D67">
            <v>37.626873178212186</v>
          </cell>
        </row>
        <row r="68">
          <cell r="A68">
            <v>56</v>
          </cell>
          <cell r="D68">
            <v>37.098784030069524</v>
          </cell>
        </row>
        <row r="69">
          <cell r="A69">
            <v>57</v>
          </cell>
          <cell r="D69">
            <v>37.280218245983562</v>
          </cell>
        </row>
        <row r="70">
          <cell r="A70">
            <v>58</v>
          </cell>
          <cell r="D70">
            <v>37.402084325533444</v>
          </cell>
        </row>
        <row r="71">
          <cell r="A71">
            <v>59</v>
          </cell>
          <cell r="D71">
            <v>37.005850247383421</v>
          </cell>
        </row>
        <row r="72">
          <cell r="A72">
            <v>60</v>
          </cell>
          <cell r="D72">
            <v>38.295599323551016</v>
          </cell>
        </row>
        <row r="73">
          <cell r="A73">
            <v>61</v>
          </cell>
          <cell r="D73">
            <v>38.574709024626316</v>
          </cell>
        </row>
        <row r="74">
          <cell r="A74">
            <v>62</v>
          </cell>
          <cell r="D74">
            <v>38.242096726404661</v>
          </cell>
        </row>
        <row r="75">
          <cell r="A75">
            <v>63</v>
          </cell>
          <cell r="D75">
            <v>37.749270354807393</v>
          </cell>
        </row>
        <row r="76">
          <cell r="A76">
            <v>64</v>
          </cell>
          <cell r="D76">
            <v>37.660494400461552</v>
          </cell>
        </row>
        <row r="77">
          <cell r="A77">
            <v>65</v>
          </cell>
          <cell r="D77">
            <v>37.331960476263504</v>
          </cell>
        </row>
        <row r="78">
          <cell r="A78">
            <v>66</v>
          </cell>
          <cell r="D78">
            <v>37.240433159134604</v>
          </cell>
        </row>
        <row r="79">
          <cell r="A79">
            <v>67</v>
          </cell>
          <cell r="D79">
            <v>36.862874783861933</v>
          </cell>
        </row>
        <row r="80">
          <cell r="A80">
            <v>68</v>
          </cell>
          <cell r="D80">
            <v>38.11955108800494</v>
          </cell>
        </row>
        <row r="81">
          <cell r="A81">
            <v>69</v>
          </cell>
          <cell r="D81">
            <v>37.433742343681459</v>
          </cell>
        </row>
        <row r="82">
          <cell r="A82">
            <v>70</v>
          </cell>
          <cell r="D82">
            <v>37.773492858689089</v>
          </cell>
        </row>
        <row r="83">
          <cell r="A83">
            <v>71</v>
          </cell>
          <cell r="D83">
            <v>38.259407052355037</v>
          </cell>
        </row>
        <row r="84">
          <cell r="A84">
            <v>72</v>
          </cell>
          <cell r="D84">
            <v>38.39638203416326</v>
          </cell>
        </row>
        <row r="85">
          <cell r="A85">
            <v>73</v>
          </cell>
          <cell r="D85">
            <v>39.446681099084074</v>
          </cell>
        </row>
        <row r="86">
          <cell r="A86">
            <v>74</v>
          </cell>
          <cell r="D86">
            <v>39.376119742307409</v>
          </cell>
        </row>
        <row r="87">
          <cell r="A87">
            <v>75</v>
          </cell>
          <cell r="D87">
            <v>39.31729136030075</v>
          </cell>
        </row>
        <row r="88">
          <cell r="A88">
            <v>76</v>
          </cell>
          <cell r="D88">
            <v>38.874291592678546</v>
          </cell>
        </row>
        <row r="89">
          <cell r="A89">
            <v>77</v>
          </cell>
          <cell r="D89">
            <v>38.258525619096112</v>
          </cell>
        </row>
        <row r="90">
          <cell r="A90">
            <v>78</v>
          </cell>
          <cell r="D90">
            <v>38.441042401867456</v>
          </cell>
        </row>
        <row r="91">
          <cell r="A91">
            <v>79</v>
          </cell>
          <cell r="D91">
            <v>38.525128287909169</v>
          </cell>
        </row>
        <row r="92">
          <cell r="A92">
            <v>80</v>
          </cell>
          <cell r="D92">
            <v>38.379751484203624</v>
          </cell>
        </row>
        <row r="93">
          <cell r="A93">
            <v>81</v>
          </cell>
          <cell r="D93">
            <v>38.547614752760389</v>
          </cell>
        </row>
        <row r="94">
          <cell r="A94">
            <v>82</v>
          </cell>
          <cell r="D94">
            <v>39.001584486749017</v>
          </cell>
        </row>
        <row r="95">
          <cell r="A95">
            <v>83</v>
          </cell>
          <cell r="D95">
            <v>38.179534783981318</v>
          </cell>
        </row>
        <row r="96">
          <cell r="A96">
            <v>84</v>
          </cell>
          <cell r="D96">
            <v>38.008059693304403</v>
          </cell>
        </row>
        <row r="97">
          <cell r="A97">
            <v>85</v>
          </cell>
          <cell r="D97">
            <v>38.047170701747824</v>
          </cell>
        </row>
        <row r="98">
          <cell r="A98">
            <v>86</v>
          </cell>
          <cell r="D98">
            <v>38.185194836236001</v>
          </cell>
        </row>
        <row r="99">
          <cell r="A99">
            <v>87</v>
          </cell>
          <cell r="D99">
            <v>38.58232922517756</v>
          </cell>
        </row>
        <row r="100">
          <cell r="A100">
            <v>88</v>
          </cell>
          <cell r="D100">
            <v>37.589083703564619</v>
          </cell>
        </row>
        <row r="101">
          <cell r="A101">
            <v>89</v>
          </cell>
          <cell r="D101">
            <v>37.789762742496158</v>
          </cell>
        </row>
        <row r="102">
          <cell r="A102">
            <v>90</v>
          </cell>
          <cell r="D102">
            <v>37.215600481311505</v>
          </cell>
        </row>
        <row r="103">
          <cell r="A103">
            <v>91</v>
          </cell>
          <cell r="D103">
            <v>37.248521016409519</v>
          </cell>
        </row>
        <row r="104">
          <cell r="A104">
            <v>92</v>
          </cell>
          <cell r="D104">
            <v>36.816163337515917</v>
          </cell>
        </row>
        <row r="105">
          <cell r="A105">
            <v>93</v>
          </cell>
          <cell r="D105">
            <v>37.563931299527724</v>
          </cell>
        </row>
        <row r="106">
          <cell r="A106">
            <v>94</v>
          </cell>
          <cell r="D106">
            <v>37.330235810885995</v>
          </cell>
        </row>
        <row r="107">
          <cell r="A107">
            <v>95</v>
          </cell>
          <cell r="D107">
            <v>37.075249563764075</v>
          </cell>
        </row>
        <row r="108">
          <cell r="A108">
            <v>96</v>
          </cell>
          <cell r="D108">
            <v>37.575943119508381</v>
          </cell>
        </row>
        <row r="109">
          <cell r="A109">
            <v>97</v>
          </cell>
          <cell r="D109">
            <v>37.426751777148105</v>
          </cell>
        </row>
        <row r="110">
          <cell r="A110">
            <v>98</v>
          </cell>
          <cell r="D110">
            <v>37.222844747642263</v>
          </cell>
        </row>
        <row r="111">
          <cell r="A111">
            <v>99</v>
          </cell>
          <cell r="D111">
            <v>36.847540569078973</v>
          </cell>
        </row>
        <row r="112">
          <cell r="A112">
            <v>100</v>
          </cell>
          <cell r="D112">
            <v>37.555959524282521</v>
          </cell>
        </row>
        <row r="113">
          <cell r="A113">
            <v>101</v>
          </cell>
          <cell r="D113">
            <v>37.472758444938442</v>
          </cell>
        </row>
        <row r="114">
          <cell r="A114">
            <v>102</v>
          </cell>
          <cell r="D114">
            <v>37.777583070909564</v>
          </cell>
        </row>
        <row r="115">
          <cell r="A115">
            <v>103</v>
          </cell>
          <cell r="D115">
            <v>37.779288405371176</v>
          </cell>
        </row>
        <row r="116">
          <cell r="A116">
            <v>104</v>
          </cell>
          <cell r="D116">
            <v>36.645951653113421</v>
          </cell>
        </row>
        <row r="117">
          <cell r="A117">
            <v>105</v>
          </cell>
          <cell r="D117">
            <v>37.225645271566691</v>
          </cell>
        </row>
        <row r="118">
          <cell r="A118">
            <v>106</v>
          </cell>
          <cell r="D118">
            <v>36.921094131618055</v>
          </cell>
        </row>
        <row r="119">
          <cell r="A119">
            <v>107</v>
          </cell>
          <cell r="D119">
            <v>37.2215769764328</v>
          </cell>
        </row>
        <row r="120">
          <cell r="A120">
            <v>108</v>
          </cell>
          <cell r="D120">
            <v>36.888826615152603</v>
          </cell>
        </row>
        <row r="121">
          <cell r="A121">
            <v>109</v>
          </cell>
          <cell r="D121">
            <v>36.56078699780354</v>
          </cell>
        </row>
        <row r="122">
          <cell r="A122">
            <v>110</v>
          </cell>
          <cell r="D122">
            <v>36.132663408508819</v>
          </cell>
        </row>
        <row r="123">
          <cell r="A123">
            <v>111</v>
          </cell>
          <cell r="D123">
            <v>36.424123037472334</v>
          </cell>
        </row>
        <row r="124">
          <cell r="A124">
            <v>112</v>
          </cell>
          <cell r="D124">
            <v>36.367899451691407</v>
          </cell>
        </row>
        <row r="125">
          <cell r="A125">
            <v>113</v>
          </cell>
          <cell r="D125">
            <v>36.408707086048437</v>
          </cell>
        </row>
        <row r="126">
          <cell r="A126">
            <v>114</v>
          </cell>
          <cell r="D126">
            <v>37.042332748201197</v>
          </cell>
        </row>
        <row r="127">
          <cell r="A127">
            <v>115</v>
          </cell>
          <cell r="D127">
            <v>37.127592461655659</v>
          </cell>
        </row>
        <row r="128">
          <cell r="A128">
            <v>116</v>
          </cell>
          <cell r="D128">
            <v>37.709150938669772</v>
          </cell>
        </row>
        <row r="129">
          <cell r="A129">
            <v>117</v>
          </cell>
          <cell r="D129">
            <v>38.020731869682685</v>
          </cell>
        </row>
        <row r="130">
          <cell r="A130">
            <v>118</v>
          </cell>
          <cell r="D130">
            <v>37.510522458698205</v>
          </cell>
        </row>
        <row r="131">
          <cell r="A131">
            <v>119</v>
          </cell>
          <cell r="D131">
            <v>38.186916503985671</v>
          </cell>
        </row>
        <row r="132">
          <cell r="A132">
            <v>120</v>
          </cell>
          <cell r="D132">
            <v>38.051038836429491</v>
          </cell>
        </row>
        <row r="133">
          <cell r="A133">
            <v>121</v>
          </cell>
          <cell r="D133">
            <v>38.17884574389835</v>
          </cell>
        </row>
        <row r="134">
          <cell r="A134">
            <v>122</v>
          </cell>
          <cell r="D134">
            <v>38.117768655529694</v>
          </cell>
        </row>
        <row r="135">
          <cell r="A135">
            <v>123</v>
          </cell>
          <cell r="D135">
            <v>37.929232108356658</v>
          </cell>
        </row>
        <row r="136">
          <cell r="A136">
            <v>124</v>
          </cell>
          <cell r="D136">
            <v>38.877859487933378</v>
          </cell>
        </row>
        <row r="137">
          <cell r="A137">
            <v>125</v>
          </cell>
          <cell r="D137">
            <v>38.273427732112843</v>
          </cell>
        </row>
        <row r="138">
          <cell r="A138">
            <v>126</v>
          </cell>
          <cell r="D138">
            <v>38.758616505363115</v>
          </cell>
        </row>
        <row r="139">
          <cell r="A139">
            <v>127</v>
          </cell>
          <cell r="D139">
            <v>38.998258223338198</v>
          </cell>
        </row>
        <row r="140">
          <cell r="A140">
            <v>128</v>
          </cell>
          <cell r="D140">
            <v>38.648379669062692</v>
          </cell>
        </row>
        <row r="141">
          <cell r="A141">
            <v>129</v>
          </cell>
          <cell r="D141">
            <v>37.981311763675215</v>
          </cell>
        </row>
        <row r="142">
          <cell r="A142">
            <v>130</v>
          </cell>
          <cell r="D142">
            <v>38.204688786924159</v>
          </cell>
        </row>
        <row r="143">
          <cell r="A143">
            <v>131</v>
          </cell>
          <cell r="D143">
            <v>38.255923709135558</v>
          </cell>
        </row>
        <row r="144">
          <cell r="A144">
            <v>132</v>
          </cell>
          <cell r="D144">
            <v>38.207144865622986</v>
          </cell>
        </row>
        <row r="145">
          <cell r="A145">
            <v>133</v>
          </cell>
          <cell r="D145">
            <v>38.137134340118877</v>
          </cell>
        </row>
        <row r="146">
          <cell r="A146">
            <v>134</v>
          </cell>
          <cell r="D146">
            <v>37.662572599969486</v>
          </cell>
        </row>
        <row r="147">
          <cell r="A147">
            <v>135</v>
          </cell>
          <cell r="D147">
            <v>37.757924076698437</v>
          </cell>
        </row>
        <row r="148">
          <cell r="A148">
            <v>136</v>
          </cell>
          <cell r="D148">
            <v>38.892170746440456</v>
          </cell>
        </row>
        <row r="149">
          <cell r="A149">
            <v>137</v>
          </cell>
          <cell r="D149">
            <v>38.184263052467699</v>
          </cell>
        </row>
        <row r="150">
          <cell r="A150">
            <v>138</v>
          </cell>
          <cell r="D150">
            <v>38.787813231686606</v>
          </cell>
        </row>
        <row r="151">
          <cell r="A151">
            <v>139</v>
          </cell>
          <cell r="D151">
            <v>38.551829452461277</v>
          </cell>
        </row>
        <row r="152">
          <cell r="A152">
            <v>140</v>
          </cell>
          <cell r="D152">
            <v>38.089257785490844</v>
          </cell>
        </row>
        <row r="153">
          <cell r="A153">
            <v>141</v>
          </cell>
          <cell r="D153">
            <v>38.273749641670435</v>
          </cell>
        </row>
        <row r="154">
          <cell r="A154">
            <v>142</v>
          </cell>
          <cell r="D154">
            <v>37.861625350564374</v>
          </cell>
        </row>
        <row r="155">
          <cell r="A155">
            <v>143</v>
          </cell>
          <cell r="D155">
            <v>37.607738825840052</v>
          </cell>
        </row>
        <row r="156">
          <cell r="A156">
            <v>144</v>
          </cell>
          <cell r="D156">
            <v>37.260861866721129</v>
          </cell>
        </row>
        <row r="157">
          <cell r="A157">
            <v>145</v>
          </cell>
          <cell r="D157">
            <v>36.777186128919489</v>
          </cell>
        </row>
        <row r="158">
          <cell r="A158">
            <v>146</v>
          </cell>
          <cell r="D158">
            <v>36.218485826043725</v>
          </cell>
        </row>
        <row r="159">
          <cell r="A159">
            <v>147</v>
          </cell>
          <cell r="D159">
            <v>36.290310149473569</v>
          </cell>
        </row>
        <row r="160">
          <cell r="A160">
            <v>148</v>
          </cell>
          <cell r="D160">
            <v>36.129911942751107</v>
          </cell>
        </row>
        <row r="161">
          <cell r="A161">
            <v>149</v>
          </cell>
          <cell r="D161">
            <v>35.95798434075067</v>
          </cell>
        </row>
        <row r="162">
          <cell r="A162">
            <v>150</v>
          </cell>
          <cell r="D162">
            <v>34.892939072773395</v>
          </cell>
        </row>
        <row r="163">
          <cell r="A163">
            <v>151</v>
          </cell>
          <cell r="D163">
            <v>34.254237050974453</v>
          </cell>
        </row>
        <row r="164">
          <cell r="A164">
            <v>152</v>
          </cell>
          <cell r="D164">
            <v>34.574068816329969</v>
          </cell>
        </row>
        <row r="165">
          <cell r="A165">
            <v>153</v>
          </cell>
          <cell r="D165">
            <v>35.159778229695178</v>
          </cell>
        </row>
        <row r="166">
          <cell r="A166">
            <v>154</v>
          </cell>
          <cell r="D166">
            <v>35.269720373285374</v>
          </cell>
        </row>
        <row r="167">
          <cell r="A167">
            <v>155</v>
          </cell>
          <cell r="D167">
            <v>35.28824255265561</v>
          </cell>
        </row>
        <row r="168">
          <cell r="A168">
            <v>156</v>
          </cell>
          <cell r="D168">
            <v>35.345219848332277</v>
          </cell>
        </row>
        <row r="169">
          <cell r="A169">
            <v>157</v>
          </cell>
          <cell r="D169">
            <v>35.641515969226809</v>
          </cell>
        </row>
        <row r="170">
          <cell r="A170">
            <v>158</v>
          </cell>
          <cell r="D170">
            <v>35.364304497142626</v>
          </cell>
        </row>
        <row r="171">
          <cell r="A171">
            <v>159</v>
          </cell>
          <cell r="D171">
            <v>35.381480484346092</v>
          </cell>
        </row>
        <row r="172">
          <cell r="A172">
            <v>160</v>
          </cell>
          <cell r="D172">
            <v>34.781850785894228</v>
          </cell>
        </row>
        <row r="173">
          <cell r="A173">
            <v>161</v>
          </cell>
          <cell r="D173">
            <v>34.482027908789135</v>
          </cell>
        </row>
        <row r="174">
          <cell r="A174">
            <v>162</v>
          </cell>
          <cell r="D174">
            <v>34.92299706359519</v>
          </cell>
        </row>
        <row r="175">
          <cell r="A175">
            <v>163</v>
          </cell>
          <cell r="D175">
            <v>35.144404854723447</v>
          </cell>
        </row>
        <row r="176">
          <cell r="A176">
            <v>164</v>
          </cell>
          <cell r="D176">
            <v>35.502419032743617</v>
          </cell>
        </row>
        <row r="177">
          <cell r="A177">
            <v>165</v>
          </cell>
          <cell r="D177">
            <v>35.194626267857849</v>
          </cell>
        </row>
        <row r="178">
          <cell r="A178">
            <v>166</v>
          </cell>
          <cell r="D178">
            <v>35.242042826791838</v>
          </cell>
        </row>
        <row r="179">
          <cell r="A179">
            <v>167</v>
          </cell>
          <cell r="D179">
            <v>35.090095725647558</v>
          </cell>
        </row>
        <row r="180">
          <cell r="A180">
            <v>168</v>
          </cell>
          <cell r="D180">
            <v>34.486641228312251</v>
          </cell>
        </row>
        <row r="181">
          <cell r="A181">
            <v>169</v>
          </cell>
          <cell r="D181">
            <v>34.601055631338703</v>
          </cell>
        </row>
        <row r="182">
          <cell r="A182">
            <v>170</v>
          </cell>
          <cell r="D182">
            <v>34.669835156522197</v>
          </cell>
        </row>
        <row r="183">
          <cell r="A183">
            <v>171</v>
          </cell>
          <cell r="D183">
            <v>34.914777382049031</v>
          </cell>
        </row>
        <row r="184">
          <cell r="A184">
            <v>172</v>
          </cell>
          <cell r="D184">
            <v>34.962952328253024</v>
          </cell>
        </row>
        <row r="185">
          <cell r="A185">
            <v>173</v>
          </cell>
          <cell r="D185">
            <v>35.290882270283284</v>
          </cell>
        </row>
        <row r="186">
          <cell r="A186">
            <v>174</v>
          </cell>
          <cell r="D186">
            <v>35.744290832975899</v>
          </cell>
        </row>
        <row r="187">
          <cell r="A187">
            <v>175</v>
          </cell>
          <cell r="D187">
            <v>35.964841197015552</v>
          </cell>
        </row>
        <row r="188">
          <cell r="A188">
            <v>176</v>
          </cell>
          <cell r="D188">
            <v>35.900888339714861</v>
          </cell>
        </row>
        <row r="189">
          <cell r="A189">
            <v>177</v>
          </cell>
          <cell r="D189">
            <v>36.108509210639902</v>
          </cell>
        </row>
        <row r="190">
          <cell r="A190">
            <v>178</v>
          </cell>
          <cell r="D190">
            <v>35.68081034361812</v>
          </cell>
        </row>
        <row r="191">
          <cell r="A191">
            <v>179</v>
          </cell>
          <cell r="D191">
            <v>35.957421981304591</v>
          </cell>
        </row>
        <row r="192">
          <cell r="A192">
            <v>180</v>
          </cell>
          <cell r="D192">
            <v>35.419074963266823</v>
          </cell>
        </row>
        <row r="193">
          <cell r="A193">
            <v>181</v>
          </cell>
          <cell r="D193">
            <v>34.742638698953428</v>
          </cell>
        </row>
        <row r="194">
          <cell r="A194">
            <v>182</v>
          </cell>
          <cell r="D194">
            <v>34.533321999653751</v>
          </cell>
        </row>
        <row r="195">
          <cell r="A195">
            <v>183</v>
          </cell>
          <cell r="D195">
            <v>34.198504274528972</v>
          </cell>
        </row>
        <row r="196">
          <cell r="A196">
            <v>184</v>
          </cell>
          <cell r="D196">
            <v>34.133253394939388</v>
          </cell>
        </row>
        <row r="197">
          <cell r="A197">
            <v>185</v>
          </cell>
          <cell r="D197">
            <v>34.068173600718538</v>
          </cell>
        </row>
        <row r="198">
          <cell r="A198">
            <v>186</v>
          </cell>
          <cell r="D198">
            <v>33.882048396308285</v>
          </cell>
        </row>
        <row r="199">
          <cell r="A199">
            <v>187</v>
          </cell>
          <cell r="D199">
            <v>33.721868079971237</v>
          </cell>
        </row>
        <row r="200">
          <cell r="A200">
            <v>188</v>
          </cell>
          <cell r="D200">
            <v>32.986400610253654</v>
          </cell>
        </row>
        <row r="201">
          <cell r="A201">
            <v>189</v>
          </cell>
          <cell r="D201">
            <v>32.689670037400681</v>
          </cell>
        </row>
        <row r="202">
          <cell r="A202">
            <v>190</v>
          </cell>
          <cell r="D202">
            <v>33.194197651293827</v>
          </cell>
        </row>
        <row r="203">
          <cell r="A203">
            <v>191</v>
          </cell>
          <cell r="D203">
            <v>32.985622478015067</v>
          </cell>
        </row>
        <row r="204">
          <cell r="A204">
            <v>192</v>
          </cell>
          <cell r="D204">
            <v>32.786944111267431</v>
          </cell>
        </row>
        <row r="205">
          <cell r="A205">
            <v>193</v>
          </cell>
          <cell r="D205">
            <v>32.782511548540441</v>
          </cell>
        </row>
        <row r="206">
          <cell r="A206">
            <v>194</v>
          </cell>
          <cell r="D206">
            <v>32.840734990119046</v>
          </cell>
        </row>
        <row r="207">
          <cell r="A207">
            <v>195</v>
          </cell>
          <cell r="D207">
            <v>32.659797773587925</v>
          </cell>
        </row>
        <row r="208">
          <cell r="A208">
            <v>196</v>
          </cell>
          <cell r="D208">
            <v>33.389495565706603</v>
          </cell>
        </row>
        <row r="209">
          <cell r="A209">
            <v>197</v>
          </cell>
          <cell r="D209">
            <v>33.155056257606745</v>
          </cell>
        </row>
        <row r="210">
          <cell r="A210">
            <v>198</v>
          </cell>
          <cell r="D210">
            <v>33.535851217342888</v>
          </cell>
        </row>
        <row r="211">
          <cell r="A211">
            <v>199</v>
          </cell>
          <cell r="D211">
            <v>34.109709335873525</v>
          </cell>
        </row>
        <row r="212">
          <cell r="A212">
            <v>200</v>
          </cell>
          <cell r="D212">
            <v>33.541123623437713</v>
          </cell>
        </row>
        <row r="213">
          <cell r="A213">
            <v>201</v>
          </cell>
          <cell r="D213">
            <v>34.032519160822787</v>
          </cell>
        </row>
        <row r="214">
          <cell r="A214">
            <v>202</v>
          </cell>
          <cell r="D214">
            <v>34.221063755307206</v>
          </cell>
        </row>
        <row r="215">
          <cell r="A215">
            <v>203</v>
          </cell>
          <cell r="D215">
            <v>34.064789753405293</v>
          </cell>
        </row>
        <row r="216">
          <cell r="A216">
            <v>204</v>
          </cell>
          <cell r="D216">
            <v>34.283777014576089</v>
          </cell>
        </row>
        <row r="217">
          <cell r="A217">
            <v>205</v>
          </cell>
          <cell r="D217">
            <v>34.89534421376824</v>
          </cell>
        </row>
        <row r="218">
          <cell r="A218">
            <v>206</v>
          </cell>
          <cell r="D218">
            <v>35.354870853766506</v>
          </cell>
        </row>
        <row r="219">
          <cell r="A219">
            <v>207</v>
          </cell>
          <cell r="D219">
            <v>34.929552127479333</v>
          </cell>
        </row>
        <row r="220">
          <cell r="A220">
            <v>208</v>
          </cell>
          <cell r="D220">
            <v>35.595094247930469</v>
          </cell>
        </row>
        <row r="221">
          <cell r="A221">
            <v>209</v>
          </cell>
          <cell r="D221">
            <v>35.732186663342219</v>
          </cell>
        </row>
        <row r="222">
          <cell r="A222">
            <v>210</v>
          </cell>
          <cell r="D222">
            <v>35.442611647940637</v>
          </cell>
        </row>
        <row r="223">
          <cell r="A223">
            <v>211</v>
          </cell>
          <cell r="D223">
            <v>35.977461326342194</v>
          </cell>
        </row>
        <row r="224">
          <cell r="A224">
            <v>212</v>
          </cell>
          <cell r="D224">
            <v>36.078140386178788</v>
          </cell>
        </row>
        <row r="225">
          <cell r="A225">
            <v>213</v>
          </cell>
          <cell r="D225">
            <v>36.232243947617526</v>
          </cell>
        </row>
        <row r="226">
          <cell r="A226">
            <v>214</v>
          </cell>
          <cell r="D226">
            <v>36.214600614548694</v>
          </cell>
        </row>
        <row r="227">
          <cell r="A227">
            <v>215</v>
          </cell>
          <cell r="D227">
            <v>36.583119531733942</v>
          </cell>
        </row>
        <row r="228">
          <cell r="A228">
            <v>216</v>
          </cell>
          <cell r="D228">
            <v>37.374099452692477</v>
          </cell>
        </row>
        <row r="229">
          <cell r="A229">
            <v>217</v>
          </cell>
          <cell r="D229">
            <v>37.485542971146508</v>
          </cell>
        </row>
        <row r="230">
          <cell r="A230">
            <v>218</v>
          </cell>
          <cell r="D230">
            <v>37.013902111123841</v>
          </cell>
        </row>
        <row r="231">
          <cell r="A231">
            <v>219</v>
          </cell>
          <cell r="D231">
            <v>36.339899473461237</v>
          </cell>
        </row>
        <row r="232">
          <cell r="A232">
            <v>220</v>
          </cell>
          <cell r="D232">
            <v>36.052624351552076</v>
          </cell>
        </row>
        <row r="233">
          <cell r="A233">
            <v>221</v>
          </cell>
          <cell r="D233">
            <v>35.798471952285468</v>
          </cell>
        </row>
        <row r="234">
          <cell r="A234">
            <v>222</v>
          </cell>
          <cell r="D234">
            <v>36.412676790003268</v>
          </cell>
        </row>
        <row r="235">
          <cell r="A235">
            <v>223</v>
          </cell>
          <cell r="D235">
            <v>36.506810531957591</v>
          </cell>
        </row>
        <row r="236">
          <cell r="A236">
            <v>224</v>
          </cell>
          <cell r="D236">
            <v>36.578072477246756</v>
          </cell>
        </row>
        <row r="237">
          <cell r="A237">
            <v>225</v>
          </cell>
          <cell r="D237">
            <v>36.700887931633723</v>
          </cell>
        </row>
        <row r="238">
          <cell r="A238">
            <v>226</v>
          </cell>
          <cell r="D238">
            <v>37.283719095899094</v>
          </cell>
        </row>
        <row r="239">
          <cell r="A239">
            <v>227</v>
          </cell>
          <cell r="D239">
            <v>37.821026898887638</v>
          </cell>
        </row>
        <row r="240">
          <cell r="A240">
            <v>228</v>
          </cell>
          <cell r="D240">
            <v>38.581345670009313</v>
          </cell>
        </row>
        <row r="241">
          <cell r="A241">
            <v>229</v>
          </cell>
          <cell r="D241">
            <v>38.683711243694006</v>
          </cell>
        </row>
        <row r="242">
          <cell r="A242">
            <v>230</v>
          </cell>
          <cell r="D242">
            <v>38.478220255592156</v>
          </cell>
        </row>
        <row r="243">
          <cell r="A243">
            <v>231</v>
          </cell>
          <cell r="D243">
            <v>39.355194871566539</v>
          </cell>
        </row>
        <row r="244">
          <cell r="A244">
            <v>232</v>
          </cell>
          <cell r="D244">
            <v>38.961382085846928</v>
          </cell>
        </row>
        <row r="245">
          <cell r="A245">
            <v>233</v>
          </cell>
          <cell r="D245">
            <v>39.179479941503637</v>
          </cell>
        </row>
        <row r="246">
          <cell r="A246">
            <v>234</v>
          </cell>
          <cell r="D246">
            <v>39.79272642315825</v>
          </cell>
        </row>
        <row r="247">
          <cell r="A247">
            <v>235</v>
          </cell>
          <cell r="D247">
            <v>39.080435530451197</v>
          </cell>
        </row>
        <row r="248">
          <cell r="A248">
            <v>236</v>
          </cell>
          <cell r="D248">
            <v>39.851753993722902</v>
          </cell>
        </row>
        <row r="249">
          <cell r="A249">
            <v>237</v>
          </cell>
          <cell r="D249">
            <v>40.284803975981674</v>
          </cell>
        </row>
        <row r="250">
          <cell r="A250">
            <v>238</v>
          </cell>
          <cell r="D250">
            <v>40.027494785429262</v>
          </cell>
        </row>
        <row r="251">
          <cell r="A251">
            <v>239</v>
          </cell>
          <cell r="D251">
            <v>40.207249370883986</v>
          </cell>
        </row>
        <row r="252">
          <cell r="A252">
            <v>240</v>
          </cell>
          <cell r="D252">
            <v>40.290588890484848</v>
          </cell>
        </row>
        <row r="253">
          <cell r="A253">
            <v>241</v>
          </cell>
          <cell r="D253">
            <v>40.372567926629685</v>
          </cell>
        </row>
        <row r="254">
          <cell r="A254">
            <v>242</v>
          </cell>
          <cell r="D254">
            <v>40.639925598860373</v>
          </cell>
        </row>
        <row r="255">
          <cell r="A255">
            <v>243</v>
          </cell>
          <cell r="D255">
            <v>40.107545692561544</v>
          </cell>
        </row>
        <row r="256">
          <cell r="A256">
            <v>244</v>
          </cell>
          <cell r="D256">
            <v>40.421622667357134</v>
          </cell>
        </row>
        <row r="257">
          <cell r="A257">
            <v>245</v>
          </cell>
          <cell r="D257">
            <v>39.995049320897174</v>
          </cell>
        </row>
        <row r="258">
          <cell r="A258">
            <v>246</v>
          </cell>
          <cell r="D258">
            <v>40.053481574087513</v>
          </cell>
        </row>
        <row r="259">
          <cell r="A259">
            <v>247</v>
          </cell>
          <cell r="D259">
            <v>40.776118105911792</v>
          </cell>
        </row>
        <row r="260">
          <cell r="A260">
            <v>248</v>
          </cell>
          <cell r="D260">
            <v>40.032352260295681</v>
          </cell>
        </row>
        <row r="261">
          <cell r="A261">
            <v>249</v>
          </cell>
          <cell r="D261">
            <v>40.119235114879515</v>
          </cell>
        </row>
        <row r="262">
          <cell r="A262">
            <v>250</v>
          </cell>
          <cell r="D262">
            <v>40.986119490418972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1">
          <cell r="A11">
            <v>0</v>
          </cell>
          <cell r="J11">
            <v>35</v>
          </cell>
        </row>
        <row r="12">
          <cell r="A12">
            <v>1</v>
          </cell>
          <cell r="J12">
            <v>34.911939703447146</v>
          </cell>
        </row>
        <row r="13">
          <cell r="A13">
            <v>2</v>
          </cell>
          <cell r="J13">
            <v>34.441391626407452</v>
          </cell>
        </row>
        <row r="14">
          <cell r="A14">
            <v>3</v>
          </cell>
          <cell r="J14">
            <v>34.041343993813797</v>
          </cell>
        </row>
        <row r="15">
          <cell r="A15">
            <v>4</v>
          </cell>
          <cell r="J15">
            <v>34.45731318080658</v>
          </cell>
        </row>
        <row r="16">
          <cell r="A16">
            <v>5</v>
          </cell>
          <cell r="J16">
            <v>35.635616015427274</v>
          </cell>
        </row>
        <row r="17">
          <cell r="A17">
            <v>6</v>
          </cell>
          <cell r="J17">
            <v>35.768240798667364</v>
          </cell>
        </row>
        <row r="18">
          <cell r="A18">
            <v>7</v>
          </cell>
          <cell r="J18">
            <v>35.872888214835115</v>
          </cell>
        </row>
        <row r="19">
          <cell r="A19">
            <v>8</v>
          </cell>
          <cell r="J19">
            <v>35.624382571555806</v>
          </cell>
        </row>
        <row r="20">
          <cell r="A20">
            <v>9</v>
          </cell>
          <cell r="J20">
            <v>35.963710609987672</v>
          </cell>
        </row>
        <row r="21">
          <cell r="A21">
            <v>10</v>
          </cell>
          <cell r="J21">
            <v>36.319098886287733</v>
          </cell>
        </row>
        <row r="22">
          <cell r="A22">
            <v>11</v>
          </cell>
          <cell r="J22">
            <v>36.425655346400788</v>
          </cell>
        </row>
        <row r="23">
          <cell r="A23">
            <v>12</v>
          </cell>
          <cell r="J23">
            <v>37.145244638848091</v>
          </cell>
        </row>
        <row r="24">
          <cell r="A24">
            <v>13</v>
          </cell>
          <cell r="J24">
            <v>37.459988421852664</v>
          </cell>
        </row>
        <row r="25">
          <cell r="A25">
            <v>14</v>
          </cell>
          <cell r="J25">
            <v>37.003089502919586</v>
          </cell>
        </row>
        <row r="26">
          <cell r="A26">
            <v>15</v>
          </cell>
          <cell r="J26">
            <v>36.359460886396846</v>
          </cell>
        </row>
        <row r="27">
          <cell r="A27">
            <v>16</v>
          </cell>
          <cell r="J27">
            <v>37.056241153675039</v>
          </cell>
        </row>
        <row r="28">
          <cell r="A28">
            <v>17</v>
          </cell>
          <cell r="J28">
            <v>37.536576982987903</v>
          </cell>
        </row>
        <row r="29">
          <cell r="A29">
            <v>18</v>
          </cell>
          <cell r="J29">
            <v>37.231139106473037</v>
          </cell>
        </row>
        <row r="30">
          <cell r="A30">
            <v>19</v>
          </cell>
          <cell r="J30">
            <v>36.672419234342193</v>
          </cell>
        </row>
        <row r="31">
          <cell r="A31">
            <v>20</v>
          </cell>
          <cell r="J31">
            <v>37.438418280723106</v>
          </cell>
        </row>
        <row r="32">
          <cell r="A32">
            <v>21</v>
          </cell>
          <cell r="J32">
            <v>37.085533242548692</v>
          </cell>
        </row>
        <row r="33">
          <cell r="A33">
            <v>22</v>
          </cell>
          <cell r="J33">
            <v>36.290612828008719</v>
          </cell>
        </row>
        <row r="34">
          <cell r="A34">
            <v>23</v>
          </cell>
          <cell r="J34">
            <v>36.340905071115216</v>
          </cell>
        </row>
        <row r="35">
          <cell r="A35">
            <v>24</v>
          </cell>
          <cell r="J35">
            <v>36.061351071348582</v>
          </cell>
        </row>
        <row r="36">
          <cell r="A36">
            <v>25</v>
          </cell>
          <cell r="J36">
            <v>35.576177424884008</v>
          </cell>
        </row>
        <row r="37">
          <cell r="A37">
            <v>26</v>
          </cell>
          <cell r="J37">
            <v>35.728175264197425</v>
          </cell>
        </row>
        <row r="38">
          <cell r="A38">
            <v>27</v>
          </cell>
          <cell r="J38">
            <v>36.047557488570746</v>
          </cell>
        </row>
        <row r="39">
          <cell r="A39">
            <v>28</v>
          </cell>
          <cell r="J39">
            <v>36.792250768903479</v>
          </cell>
        </row>
        <row r="40">
          <cell r="A40">
            <v>29</v>
          </cell>
          <cell r="J40">
            <v>36.898904122225176</v>
          </cell>
        </row>
        <row r="41">
          <cell r="A41">
            <v>30</v>
          </cell>
          <cell r="J41">
            <v>36.758913385275356</v>
          </cell>
        </row>
        <row r="42">
          <cell r="A42">
            <v>31</v>
          </cell>
          <cell r="J42">
            <v>36.747600939038094</v>
          </cell>
        </row>
        <row r="43">
          <cell r="A43">
            <v>32</v>
          </cell>
          <cell r="J43">
            <v>36.506251156576937</v>
          </cell>
        </row>
        <row r="44">
          <cell r="A44">
            <v>33</v>
          </cell>
          <cell r="J44">
            <v>36.44625378965894</v>
          </cell>
        </row>
        <row r="45">
          <cell r="A45">
            <v>34</v>
          </cell>
          <cell r="J45">
            <v>36.482572073176179</v>
          </cell>
        </row>
        <row r="46">
          <cell r="A46">
            <v>35</v>
          </cell>
          <cell r="J46">
            <v>36.486026440314525</v>
          </cell>
        </row>
        <row r="47">
          <cell r="A47">
            <v>36</v>
          </cell>
          <cell r="J47">
            <v>36.570417126770224</v>
          </cell>
        </row>
        <row r="48">
          <cell r="A48">
            <v>37</v>
          </cell>
          <cell r="J48">
            <v>35.991965910913372</v>
          </cell>
        </row>
        <row r="49">
          <cell r="A49">
            <v>38</v>
          </cell>
          <cell r="J49">
            <v>36.056126401253877</v>
          </cell>
        </row>
        <row r="50">
          <cell r="A50">
            <v>39</v>
          </cell>
          <cell r="J50">
            <v>36.110356282103353</v>
          </cell>
        </row>
        <row r="51">
          <cell r="A51">
            <v>40</v>
          </cell>
          <cell r="J51">
            <v>36.227674186784121</v>
          </cell>
        </row>
        <row r="52">
          <cell r="A52">
            <v>41</v>
          </cell>
          <cell r="J52">
            <v>35.895005638871218</v>
          </cell>
        </row>
        <row r="53">
          <cell r="A53">
            <v>42</v>
          </cell>
          <cell r="J53">
            <v>36.313960739795377</v>
          </cell>
        </row>
        <row r="54">
          <cell r="A54">
            <v>43</v>
          </cell>
          <cell r="J54">
            <v>36.726816287222441</v>
          </cell>
        </row>
        <row r="55">
          <cell r="A55">
            <v>44</v>
          </cell>
          <cell r="J55">
            <v>36.509863845464501</v>
          </cell>
        </row>
        <row r="56">
          <cell r="A56">
            <v>45</v>
          </cell>
          <cell r="J56">
            <v>35.419579210203501</v>
          </cell>
        </row>
        <row r="57">
          <cell r="A57">
            <v>46</v>
          </cell>
          <cell r="J57">
            <v>34.928992801428407</v>
          </cell>
        </row>
        <row r="58">
          <cell r="A58">
            <v>47</v>
          </cell>
          <cell r="J58">
            <v>35.280659587070133</v>
          </cell>
        </row>
        <row r="59">
          <cell r="A59">
            <v>48</v>
          </cell>
          <cell r="J59">
            <v>35.269226767305575</v>
          </cell>
        </row>
        <row r="60">
          <cell r="A60">
            <v>49</v>
          </cell>
          <cell r="J60">
            <v>34.8244039976313</v>
          </cell>
        </row>
        <row r="61">
          <cell r="A61">
            <v>50</v>
          </cell>
          <cell r="J61">
            <v>35.652334934884806</v>
          </cell>
        </row>
        <row r="62">
          <cell r="A62">
            <v>51</v>
          </cell>
          <cell r="J62">
            <v>36.751089091030813</v>
          </cell>
        </row>
        <row r="63">
          <cell r="A63">
            <v>52</v>
          </cell>
          <cell r="J63">
            <v>36.750880520278969</v>
          </cell>
        </row>
        <row r="64">
          <cell r="A64">
            <v>53</v>
          </cell>
          <cell r="J64">
            <v>35.861439889403343</v>
          </cell>
        </row>
        <row r="65">
          <cell r="A65">
            <v>54</v>
          </cell>
          <cell r="J65">
            <v>35.779464552939331</v>
          </cell>
        </row>
        <row r="66">
          <cell r="A66">
            <v>55</v>
          </cell>
          <cell r="J66">
            <v>35.442272101991037</v>
          </cell>
        </row>
        <row r="67">
          <cell r="A67">
            <v>56</v>
          </cell>
          <cell r="J67">
            <v>35.250583673996751</v>
          </cell>
        </row>
        <row r="68">
          <cell r="A68">
            <v>57</v>
          </cell>
          <cell r="J68">
            <v>35.833691848490247</v>
          </cell>
        </row>
        <row r="69">
          <cell r="A69">
            <v>58</v>
          </cell>
          <cell r="J69">
            <v>35.364972386643934</v>
          </cell>
        </row>
        <row r="70">
          <cell r="A70">
            <v>59</v>
          </cell>
          <cell r="J70">
            <v>35.307460971376898</v>
          </cell>
        </row>
        <row r="71">
          <cell r="A71">
            <v>60</v>
          </cell>
          <cell r="J71">
            <v>34.451175101315378</v>
          </cell>
        </row>
        <row r="72">
          <cell r="A72">
            <v>61</v>
          </cell>
          <cell r="J72">
            <v>34.297206562840387</v>
          </cell>
        </row>
        <row r="73">
          <cell r="A73">
            <v>62</v>
          </cell>
          <cell r="J73">
            <v>34.173226500661357</v>
          </cell>
        </row>
        <row r="74">
          <cell r="A74">
            <v>63</v>
          </cell>
          <cell r="J74">
            <v>34.219605623332228</v>
          </cell>
        </row>
        <row r="75">
          <cell r="A75">
            <v>64</v>
          </cell>
          <cell r="J75">
            <v>34.514746462188313</v>
          </cell>
        </row>
        <row r="76">
          <cell r="A76">
            <v>65</v>
          </cell>
          <cell r="J76">
            <v>34.111533506777</v>
          </cell>
        </row>
        <row r="77">
          <cell r="A77">
            <v>66</v>
          </cell>
          <cell r="J77">
            <v>34.159457673536856</v>
          </cell>
        </row>
        <row r="78">
          <cell r="A78">
            <v>67</v>
          </cell>
          <cell r="J78">
            <v>33.964925353426025</v>
          </cell>
        </row>
        <row r="79">
          <cell r="A79">
            <v>68</v>
          </cell>
          <cell r="J79">
            <v>33.272598298895247</v>
          </cell>
        </row>
        <row r="80">
          <cell r="A80">
            <v>69</v>
          </cell>
          <cell r="J80">
            <v>33.435478729267977</v>
          </cell>
        </row>
        <row r="81">
          <cell r="A81">
            <v>70</v>
          </cell>
          <cell r="J81">
            <v>33.832382161331218</v>
          </cell>
        </row>
        <row r="82">
          <cell r="A82">
            <v>71</v>
          </cell>
          <cell r="J82">
            <v>33.971457209982248</v>
          </cell>
        </row>
        <row r="83">
          <cell r="A83">
            <v>72</v>
          </cell>
          <cell r="J83">
            <v>33.941450335267426</v>
          </cell>
        </row>
        <row r="84">
          <cell r="A84">
            <v>73</v>
          </cell>
          <cell r="J84">
            <v>33.705088491072203</v>
          </cell>
        </row>
        <row r="85">
          <cell r="A85">
            <v>74</v>
          </cell>
          <cell r="J85">
            <v>34.249807177740713</v>
          </cell>
        </row>
        <row r="86">
          <cell r="A86">
            <v>75</v>
          </cell>
          <cell r="J86">
            <v>34.043908336292212</v>
          </cell>
        </row>
        <row r="87">
          <cell r="A87">
            <v>76</v>
          </cell>
          <cell r="J87">
            <v>33.797634990759164</v>
          </cell>
        </row>
        <row r="88">
          <cell r="A88">
            <v>77</v>
          </cell>
          <cell r="J88">
            <v>33.989411704050006</v>
          </cell>
        </row>
        <row r="89">
          <cell r="A89">
            <v>78</v>
          </cell>
          <cell r="J89">
            <v>34.344786380750804</v>
          </cell>
        </row>
        <row r="90">
          <cell r="A90">
            <v>79</v>
          </cell>
          <cell r="J90">
            <v>34.682197552788914</v>
          </cell>
        </row>
        <row r="91">
          <cell r="A91">
            <v>80</v>
          </cell>
          <cell r="J91">
            <v>34.385469163787896</v>
          </cell>
        </row>
        <row r="92">
          <cell r="A92">
            <v>81</v>
          </cell>
          <cell r="J92">
            <v>34.95544124740951</v>
          </cell>
        </row>
        <row r="93">
          <cell r="A93">
            <v>82</v>
          </cell>
          <cell r="J93">
            <v>35.101861886646915</v>
          </cell>
        </row>
        <row r="94">
          <cell r="A94">
            <v>83</v>
          </cell>
          <cell r="J94">
            <v>35.985907824681732</v>
          </cell>
        </row>
        <row r="95">
          <cell r="A95">
            <v>84</v>
          </cell>
          <cell r="J95">
            <v>36.074459487936359</v>
          </cell>
        </row>
        <row r="96">
          <cell r="A96">
            <v>85</v>
          </cell>
          <cell r="J96">
            <v>35.977465171011218</v>
          </cell>
        </row>
        <row r="97">
          <cell r="A97">
            <v>86</v>
          </cell>
          <cell r="J97">
            <v>35.684638015242655</v>
          </cell>
        </row>
        <row r="98">
          <cell r="A98">
            <v>87</v>
          </cell>
          <cell r="J98">
            <v>35.604306570413264</v>
          </cell>
        </row>
        <row r="99">
          <cell r="A99">
            <v>88</v>
          </cell>
          <cell r="J99">
            <v>35.106328451256793</v>
          </cell>
        </row>
        <row r="100">
          <cell r="A100">
            <v>89</v>
          </cell>
          <cell r="J100">
            <v>35.759510590283092</v>
          </cell>
        </row>
        <row r="101">
          <cell r="A101">
            <v>90</v>
          </cell>
          <cell r="J101">
            <v>35.927960413864703</v>
          </cell>
        </row>
        <row r="102">
          <cell r="A102">
            <v>91</v>
          </cell>
          <cell r="J102">
            <v>35.746912177032399</v>
          </cell>
        </row>
        <row r="103">
          <cell r="A103">
            <v>92</v>
          </cell>
          <cell r="J103">
            <v>35.390389296334185</v>
          </cell>
        </row>
        <row r="104">
          <cell r="A104">
            <v>93</v>
          </cell>
          <cell r="J104">
            <v>35.992191539784422</v>
          </cell>
        </row>
        <row r="105">
          <cell r="A105">
            <v>94</v>
          </cell>
          <cell r="J105">
            <v>36.167791562663837</v>
          </cell>
        </row>
        <row r="106">
          <cell r="A106">
            <v>95</v>
          </cell>
          <cell r="J106">
            <v>37.107806933540402</v>
          </cell>
        </row>
        <row r="107">
          <cell r="A107">
            <v>96</v>
          </cell>
          <cell r="J107">
            <v>36.948426802711879</v>
          </cell>
        </row>
        <row r="108">
          <cell r="A108">
            <v>97</v>
          </cell>
          <cell r="J108">
            <v>36.836743851810262</v>
          </cell>
        </row>
        <row r="109">
          <cell r="A109">
            <v>98</v>
          </cell>
          <cell r="J109">
            <v>36.5717002606739</v>
          </cell>
        </row>
        <row r="110">
          <cell r="A110">
            <v>99</v>
          </cell>
          <cell r="J110">
            <v>35.900116228154666</v>
          </cell>
        </row>
        <row r="111">
          <cell r="A111">
            <v>100</v>
          </cell>
          <cell r="J111">
            <v>35.829226200569707</v>
          </cell>
        </row>
        <row r="112">
          <cell r="A112">
            <v>101</v>
          </cell>
          <cell r="J112">
            <v>35.928972959695777</v>
          </cell>
        </row>
        <row r="113">
          <cell r="A113">
            <v>102</v>
          </cell>
          <cell r="J113">
            <v>37.105701810623891</v>
          </cell>
        </row>
        <row r="114">
          <cell r="A114">
            <v>103</v>
          </cell>
          <cell r="J114">
            <v>37.111563281071</v>
          </cell>
        </row>
        <row r="115">
          <cell r="A115">
            <v>104</v>
          </cell>
          <cell r="J115">
            <v>37.593078867280404</v>
          </cell>
        </row>
        <row r="116">
          <cell r="A116">
            <v>105</v>
          </cell>
          <cell r="J116">
            <v>37.617649998852698</v>
          </cell>
        </row>
        <row r="117">
          <cell r="A117">
            <v>106</v>
          </cell>
          <cell r="J117">
            <v>37.648549649988652</v>
          </cell>
        </row>
        <row r="118">
          <cell r="A118">
            <v>107</v>
          </cell>
          <cell r="J118">
            <v>37.793075448480558</v>
          </cell>
        </row>
        <row r="119">
          <cell r="A119">
            <v>108</v>
          </cell>
          <cell r="J119">
            <v>38.076425823671904</v>
          </cell>
        </row>
        <row r="120">
          <cell r="A120">
            <v>109</v>
          </cell>
          <cell r="J120">
            <v>38.597068729249585</v>
          </cell>
        </row>
        <row r="121">
          <cell r="A121">
            <v>110</v>
          </cell>
          <cell r="J121">
            <v>38.654645672695629</v>
          </cell>
        </row>
        <row r="122">
          <cell r="A122">
            <v>111</v>
          </cell>
          <cell r="J122">
            <v>38.323454735791877</v>
          </cell>
        </row>
        <row r="123">
          <cell r="A123">
            <v>112</v>
          </cell>
          <cell r="J123">
            <v>38.111772366182755</v>
          </cell>
        </row>
        <row r="124">
          <cell r="A124">
            <v>113</v>
          </cell>
          <cell r="J124">
            <v>37.585825227967725</v>
          </cell>
        </row>
        <row r="125">
          <cell r="A125">
            <v>114</v>
          </cell>
          <cell r="J125">
            <v>37.696534464181809</v>
          </cell>
        </row>
        <row r="126">
          <cell r="A126">
            <v>115</v>
          </cell>
          <cell r="J126">
            <v>37.443180064338783</v>
          </cell>
        </row>
        <row r="127">
          <cell r="A127">
            <v>116</v>
          </cell>
          <cell r="J127">
            <v>37.472893396934445</v>
          </cell>
        </row>
        <row r="128">
          <cell r="A128">
            <v>117</v>
          </cell>
          <cell r="J128">
            <v>37.626163494467939</v>
          </cell>
        </row>
        <row r="129">
          <cell r="A129">
            <v>118</v>
          </cell>
          <cell r="J129">
            <v>37.60659410475219</v>
          </cell>
        </row>
        <row r="130">
          <cell r="A130">
            <v>119</v>
          </cell>
          <cell r="J130">
            <v>38.160074006398112</v>
          </cell>
        </row>
        <row r="131">
          <cell r="A131">
            <v>120</v>
          </cell>
          <cell r="J131">
            <v>38.350318680015384</v>
          </cell>
        </row>
        <row r="132">
          <cell r="A132">
            <v>121</v>
          </cell>
          <cell r="J132">
            <v>38.011044853307354</v>
          </cell>
        </row>
        <row r="133">
          <cell r="A133">
            <v>122</v>
          </cell>
          <cell r="J133">
            <v>38.272873405914687</v>
          </cell>
        </row>
        <row r="134">
          <cell r="A134">
            <v>123</v>
          </cell>
          <cell r="J134">
            <v>37.943664473134824</v>
          </cell>
        </row>
        <row r="135">
          <cell r="A135">
            <v>124</v>
          </cell>
          <cell r="J135">
            <v>37.758114256413421</v>
          </cell>
        </row>
        <row r="136">
          <cell r="A136">
            <v>125</v>
          </cell>
          <cell r="J136">
            <v>37.77673490649898</v>
          </cell>
        </row>
        <row r="137">
          <cell r="A137">
            <v>126</v>
          </cell>
          <cell r="J137">
            <v>37.382981452603616</v>
          </cell>
        </row>
        <row r="138">
          <cell r="A138">
            <v>127</v>
          </cell>
          <cell r="J138">
            <v>38.147479334576751</v>
          </cell>
        </row>
        <row r="139">
          <cell r="A139">
            <v>128</v>
          </cell>
          <cell r="J139">
            <v>37.950721299516367</v>
          </cell>
        </row>
        <row r="140">
          <cell r="A140">
            <v>129</v>
          </cell>
          <cell r="J140">
            <v>38.409437504592944</v>
          </cell>
        </row>
        <row r="141">
          <cell r="A141">
            <v>130</v>
          </cell>
          <cell r="J141">
            <v>38.157941713711224</v>
          </cell>
        </row>
        <row r="142">
          <cell r="A142">
            <v>131</v>
          </cell>
          <cell r="J142">
            <v>38.348436370731868</v>
          </cell>
        </row>
        <row r="143">
          <cell r="A143">
            <v>132</v>
          </cell>
          <cell r="J143">
            <v>37.661387623491088</v>
          </cell>
        </row>
        <row r="144">
          <cell r="A144">
            <v>133</v>
          </cell>
          <cell r="J144">
            <v>37.502409852007027</v>
          </cell>
        </row>
        <row r="145">
          <cell r="A145">
            <v>134</v>
          </cell>
          <cell r="J145">
            <v>38.253280762689279</v>
          </cell>
        </row>
        <row r="146">
          <cell r="A146">
            <v>135</v>
          </cell>
          <cell r="J146">
            <v>38.444280737856893</v>
          </cell>
        </row>
        <row r="147">
          <cell r="A147">
            <v>136</v>
          </cell>
          <cell r="J147">
            <v>39.568041094958005</v>
          </cell>
        </row>
        <row r="148">
          <cell r="A148">
            <v>137</v>
          </cell>
          <cell r="J148">
            <v>39.446602138538836</v>
          </cell>
        </row>
        <row r="149">
          <cell r="A149">
            <v>138</v>
          </cell>
          <cell r="J149">
            <v>39.097885368580222</v>
          </cell>
        </row>
        <row r="150">
          <cell r="A150">
            <v>139</v>
          </cell>
          <cell r="J150">
            <v>39.367121489466207</v>
          </cell>
        </row>
        <row r="151">
          <cell r="A151">
            <v>140</v>
          </cell>
          <cell r="J151">
            <v>39.17569117375767</v>
          </cell>
        </row>
        <row r="152">
          <cell r="A152">
            <v>141</v>
          </cell>
          <cell r="J152">
            <v>38.935400218073511</v>
          </cell>
        </row>
        <row r="153">
          <cell r="A153">
            <v>142</v>
          </cell>
          <cell r="J153">
            <v>39.148969359293801</v>
          </cell>
        </row>
        <row r="154">
          <cell r="A154">
            <v>143</v>
          </cell>
          <cell r="J154">
            <v>39.210571327968907</v>
          </cell>
        </row>
        <row r="155">
          <cell r="A155">
            <v>144</v>
          </cell>
          <cell r="J155">
            <v>39.32291055574899</v>
          </cell>
        </row>
        <row r="156">
          <cell r="A156">
            <v>145</v>
          </cell>
          <cell r="J156">
            <v>39.17357386448176</v>
          </cell>
        </row>
        <row r="157">
          <cell r="A157">
            <v>146</v>
          </cell>
          <cell r="J157">
            <v>38.705440812527662</v>
          </cell>
        </row>
        <row r="158">
          <cell r="A158">
            <v>147</v>
          </cell>
          <cell r="J158">
            <v>39.025936569094497</v>
          </cell>
        </row>
        <row r="159">
          <cell r="A159">
            <v>148</v>
          </cell>
          <cell r="J159">
            <v>39.071080538810101</v>
          </cell>
        </row>
        <row r="160">
          <cell r="A160">
            <v>149</v>
          </cell>
          <cell r="J160">
            <v>38.434536897526201</v>
          </cell>
        </row>
        <row r="161">
          <cell r="A161">
            <v>150</v>
          </cell>
          <cell r="J161">
            <v>38.793852884046942</v>
          </cell>
        </row>
        <row r="162">
          <cell r="A162">
            <v>151</v>
          </cell>
          <cell r="J162">
            <v>39.388620576876953</v>
          </cell>
        </row>
        <row r="163">
          <cell r="A163">
            <v>152</v>
          </cell>
          <cell r="J163">
            <v>39.334334620550372</v>
          </cell>
        </row>
        <row r="164">
          <cell r="A164">
            <v>153</v>
          </cell>
          <cell r="J164">
            <v>39.193932001302265</v>
          </cell>
        </row>
        <row r="165">
          <cell r="A165">
            <v>154</v>
          </cell>
          <cell r="J165">
            <v>39.513497149033242</v>
          </cell>
        </row>
        <row r="166">
          <cell r="A166">
            <v>155</v>
          </cell>
          <cell r="J166">
            <v>39.282381161006825</v>
          </cell>
        </row>
        <row r="167">
          <cell r="A167">
            <v>156</v>
          </cell>
          <cell r="J167">
            <v>39.044256195752908</v>
          </cell>
        </row>
        <row r="168">
          <cell r="A168">
            <v>157</v>
          </cell>
          <cell r="J168">
            <v>39.561515048468394</v>
          </cell>
        </row>
        <row r="169">
          <cell r="A169">
            <v>158</v>
          </cell>
          <cell r="J169">
            <v>39.31216351607258</v>
          </cell>
        </row>
        <row r="170">
          <cell r="A170">
            <v>159</v>
          </cell>
          <cell r="J170">
            <v>40.011019685253608</v>
          </cell>
        </row>
        <row r="171">
          <cell r="A171">
            <v>160</v>
          </cell>
          <cell r="J171">
            <v>41.17394177144633</v>
          </cell>
        </row>
        <row r="172">
          <cell r="A172">
            <v>161</v>
          </cell>
          <cell r="J172">
            <v>41.275168807856879</v>
          </cell>
        </row>
        <row r="173">
          <cell r="A173">
            <v>162</v>
          </cell>
          <cell r="J173">
            <v>41.675995513240814</v>
          </cell>
        </row>
        <row r="174">
          <cell r="A174">
            <v>163</v>
          </cell>
          <cell r="J174">
            <v>41.654983109108109</v>
          </cell>
        </row>
        <row r="175">
          <cell r="A175">
            <v>164</v>
          </cell>
          <cell r="J175">
            <v>41.885749379710163</v>
          </cell>
        </row>
        <row r="176">
          <cell r="A176">
            <v>165</v>
          </cell>
          <cell r="J176">
            <v>41.900408550663457</v>
          </cell>
        </row>
        <row r="177">
          <cell r="A177">
            <v>166</v>
          </cell>
          <cell r="J177">
            <v>41.328236635281094</v>
          </cell>
        </row>
        <row r="178">
          <cell r="A178">
            <v>167</v>
          </cell>
          <cell r="J178">
            <v>41.91849657078987</v>
          </cell>
        </row>
        <row r="179">
          <cell r="A179">
            <v>168</v>
          </cell>
          <cell r="J179">
            <v>41.084629046491109</v>
          </cell>
        </row>
        <row r="180">
          <cell r="A180">
            <v>169</v>
          </cell>
          <cell r="J180">
            <v>41.51843874596301</v>
          </cell>
        </row>
        <row r="181">
          <cell r="A181">
            <v>170</v>
          </cell>
          <cell r="J181">
            <v>40.68807094229652</v>
          </cell>
        </row>
        <row r="182">
          <cell r="A182">
            <v>171</v>
          </cell>
          <cell r="J182">
            <v>40.816265294029826</v>
          </cell>
        </row>
        <row r="183">
          <cell r="A183">
            <v>172</v>
          </cell>
          <cell r="J183">
            <v>40.862089428027708</v>
          </cell>
        </row>
        <row r="184">
          <cell r="A184">
            <v>173</v>
          </cell>
          <cell r="J184">
            <v>40.939182160831805</v>
          </cell>
        </row>
        <row r="185">
          <cell r="A185">
            <v>174</v>
          </cell>
          <cell r="J185">
            <v>40.904406080677362</v>
          </cell>
        </row>
        <row r="186">
          <cell r="A186">
            <v>175</v>
          </cell>
          <cell r="J186">
            <v>40.137923897394536</v>
          </cell>
        </row>
        <row r="187">
          <cell r="A187">
            <v>176</v>
          </cell>
          <cell r="J187">
            <v>40.303524146791993</v>
          </cell>
        </row>
        <row r="188">
          <cell r="A188">
            <v>177</v>
          </cell>
          <cell r="J188">
            <v>40.682582913697317</v>
          </cell>
        </row>
        <row r="189">
          <cell r="A189">
            <v>178</v>
          </cell>
          <cell r="J189">
            <v>40.58260481518932</v>
          </cell>
        </row>
        <row r="190">
          <cell r="A190">
            <v>179</v>
          </cell>
          <cell r="J190">
            <v>41.088774183853197</v>
          </cell>
        </row>
        <row r="191">
          <cell r="A191">
            <v>180</v>
          </cell>
          <cell r="J191">
            <v>40.123224569949045</v>
          </cell>
        </row>
        <row r="192">
          <cell r="A192">
            <v>181</v>
          </cell>
          <cell r="J192">
            <v>39.475730721175339</v>
          </cell>
        </row>
        <row r="193">
          <cell r="A193">
            <v>182</v>
          </cell>
          <cell r="J193">
            <v>40.130809696811376</v>
          </cell>
        </row>
        <row r="194">
          <cell r="A194">
            <v>183</v>
          </cell>
          <cell r="J194">
            <v>41.079645408396914</v>
          </cell>
        </row>
        <row r="195">
          <cell r="A195">
            <v>184</v>
          </cell>
          <cell r="J195">
            <v>41.919482678710715</v>
          </cell>
        </row>
        <row r="196">
          <cell r="A196">
            <v>185</v>
          </cell>
          <cell r="J196">
            <v>41.630965415487132</v>
          </cell>
        </row>
        <row r="197">
          <cell r="A197">
            <v>186</v>
          </cell>
          <cell r="J197">
            <v>42.200997043826597</v>
          </cell>
        </row>
        <row r="198">
          <cell r="A198">
            <v>187</v>
          </cell>
          <cell r="J198">
            <v>42.340994828549569</v>
          </cell>
        </row>
        <row r="199">
          <cell r="A199">
            <v>188</v>
          </cell>
          <cell r="J199">
            <v>42.912031977501165</v>
          </cell>
        </row>
        <row r="200">
          <cell r="A200">
            <v>189</v>
          </cell>
          <cell r="J200">
            <v>42.759805057045931</v>
          </cell>
        </row>
        <row r="201">
          <cell r="A201">
            <v>190</v>
          </cell>
          <cell r="J201">
            <v>43.258778552081502</v>
          </cell>
        </row>
        <row r="202">
          <cell r="A202">
            <v>191</v>
          </cell>
          <cell r="J202">
            <v>43.427337972334804</v>
          </cell>
        </row>
        <row r="203">
          <cell r="A203">
            <v>192</v>
          </cell>
          <cell r="J203">
            <v>43.78099547547049</v>
          </cell>
        </row>
        <row r="204">
          <cell r="A204">
            <v>193</v>
          </cell>
          <cell r="J204">
            <v>44.304362431996815</v>
          </cell>
        </row>
        <row r="205">
          <cell r="A205">
            <v>194</v>
          </cell>
          <cell r="J205">
            <v>43.21284279142926</v>
          </cell>
        </row>
        <row r="206">
          <cell r="A206">
            <v>195</v>
          </cell>
          <cell r="J206">
            <v>42.924589543665171</v>
          </cell>
        </row>
        <row r="207">
          <cell r="A207">
            <v>196</v>
          </cell>
          <cell r="J207">
            <v>42.910452257238099</v>
          </cell>
        </row>
        <row r="208">
          <cell r="A208">
            <v>197</v>
          </cell>
          <cell r="J208">
            <v>43.496971259581478</v>
          </cell>
        </row>
        <row r="209">
          <cell r="A209">
            <v>198</v>
          </cell>
          <cell r="J209">
            <v>42.55772684296592</v>
          </cell>
        </row>
        <row r="210">
          <cell r="A210">
            <v>199</v>
          </cell>
          <cell r="J210">
            <v>43.206123814619041</v>
          </cell>
        </row>
        <row r="211">
          <cell r="A211">
            <v>200</v>
          </cell>
          <cell r="J211">
            <v>43.218983916988236</v>
          </cell>
        </row>
        <row r="212">
          <cell r="A212">
            <v>201</v>
          </cell>
          <cell r="J212">
            <v>44.259502756889198</v>
          </cell>
        </row>
        <row r="213">
          <cell r="A213">
            <v>202</v>
          </cell>
          <cell r="J213">
            <v>44.661419263901507</v>
          </cell>
        </row>
        <row r="214">
          <cell r="A214">
            <v>203</v>
          </cell>
          <cell r="J214">
            <v>44.612118253507624</v>
          </cell>
        </row>
        <row r="215">
          <cell r="A215">
            <v>204</v>
          </cell>
          <cell r="J215">
            <v>43.833281929711362</v>
          </cell>
        </row>
        <row r="216">
          <cell r="A216">
            <v>205</v>
          </cell>
          <cell r="J216">
            <v>44.711646863733513</v>
          </cell>
        </row>
        <row r="217">
          <cell r="A217">
            <v>206</v>
          </cell>
          <cell r="J217">
            <v>44.957244199322041</v>
          </cell>
        </row>
        <row r="218">
          <cell r="A218">
            <v>207</v>
          </cell>
          <cell r="J218">
            <v>44.724523636100237</v>
          </cell>
        </row>
        <row r="219">
          <cell r="A219">
            <v>208</v>
          </cell>
          <cell r="J219">
            <v>44.975764966612402</v>
          </cell>
        </row>
        <row r="220">
          <cell r="A220">
            <v>209</v>
          </cell>
          <cell r="J220">
            <v>45.269736205325117</v>
          </cell>
        </row>
        <row r="221">
          <cell r="A221">
            <v>210</v>
          </cell>
          <cell r="J221">
            <v>45.742685413148337</v>
          </cell>
        </row>
        <row r="222">
          <cell r="A222">
            <v>211</v>
          </cell>
          <cell r="J222">
            <v>45.902059792736061</v>
          </cell>
        </row>
        <row r="223">
          <cell r="A223">
            <v>212</v>
          </cell>
          <cell r="J223">
            <v>44.866740095550192</v>
          </cell>
        </row>
        <row r="224">
          <cell r="A224">
            <v>213</v>
          </cell>
          <cell r="J224">
            <v>44.078344607696003</v>
          </cell>
        </row>
        <row r="225">
          <cell r="A225">
            <v>214</v>
          </cell>
          <cell r="J225">
            <v>44.249148835280465</v>
          </cell>
        </row>
        <row r="226">
          <cell r="A226">
            <v>215</v>
          </cell>
          <cell r="J226">
            <v>44.04392709138159</v>
          </cell>
        </row>
        <row r="227">
          <cell r="A227">
            <v>216</v>
          </cell>
          <cell r="J227">
            <v>44.321282896407844</v>
          </cell>
        </row>
        <row r="228">
          <cell r="A228">
            <v>217</v>
          </cell>
          <cell r="J228">
            <v>44.603921700827478</v>
          </cell>
        </row>
        <row r="229">
          <cell r="A229">
            <v>218</v>
          </cell>
          <cell r="J229">
            <v>44.197988218502488</v>
          </cell>
        </row>
        <row r="230">
          <cell r="A230">
            <v>219</v>
          </cell>
          <cell r="J230">
            <v>44.506626287194905</v>
          </cell>
        </row>
        <row r="231">
          <cell r="A231">
            <v>220</v>
          </cell>
          <cell r="J231">
            <v>43.536799496803781</v>
          </cell>
        </row>
        <row r="232">
          <cell r="A232">
            <v>221</v>
          </cell>
          <cell r="J232">
            <v>44.030861288339416</v>
          </cell>
        </row>
        <row r="233">
          <cell r="A233">
            <v>222</v>
          </cell>
          <cell r="J233">
            <v>44.143551350467334</v>
          </cell>
        </row>
        <row r="234">
          <cell r="A234">
            <v>223</v>
          </cell>
          <cell r="J234">
            <v>44.477655024570332</v>
          </cell>
        </row>
        <row r="235">
          <cell r="A235">
            <v>224</v>
          </cell>
          <cell r="J235">
            <v>44.992751284026809</v>
          </cell>
        </row>
        <row r="236">
          <cell r="A236">
            <v>225</v>
          </cell>
          <cell r="J236">
            <v>44.816749150132154</v>
          </cell>
        </row>
        <row r="237">
          <cell r="A237">
            <v>226</v>
          </cell>
          <cell r="J237">
            <v>45.062534027733015</v>
          </cell>
        </row>
        <row r="238">
          <cell r="A238">
            <v>227</v>
          </cell>
          <cell r="J238">
            <v>44.811520033508756</v>
          </cell>
        </row>
        <row r="239">
          <cell r="A239">
            <v>228</v>
          </cell>
          <cell r="J239">
            <v>45.788193029680194</v>
          </cell>
        </row>
        <row r="240">
          <cell r="A240">
            <v>229</v>
          </cell>
          <cell r="J240">
            <v>45.522561325128351</v>
          </cell>
        </row>
        <row r="241">
          <cell r="A241">
            <v>230</v>
          </cell>
          <cell r="J241">
            <v>46.020469757790295</v>
          </cell>
        </row>
        <row r="242">
          <cell r="A242">
            <v>231</v>
          </cell>
          <cell r="J242">
            <v>45.457237218562184</v>
          </cell>
        </row>
        <row r="243">
          <cell r="A243">
            <v>232</v>
          </cell>
          <cell r="J243">
            <v>43.793967232188798</v>
          </cell>
        </row>
        <row r="244">
          <cell r="A244">
            <v>233</v>
          </cell>
          <cell r="J244">
            <v>43.824026731578684</v>
          </cell>
        </row>
        <row r="245">
          <cell r="A245">
            <v>234</v>
          </cell>
          <cell r="J245">
            <v>43.993419201866779</v>
          </cell>
        </row>
        <row r="246">
          <cell r="A246">
            <v>235</v>
          </cell>
          <cell r="J246">
            <v>43.75854615867523</v>
          </cell>
        </row>
        <row r="247">
          <cell r="A247">
            <v>236</v>
          </cell>
          <cell r="J247">
            <v>43.380529899503479</v>
          </cell>
        </row>
        <row r="248">
          <cell r="A248">
            <v>237</v>
          </cell>
          <cell r="J248">
            <v>43.340088928826049</v>
          </cell>
        </row>
        <row r="249">
          <cell r="A249">
            <v>238</v>
          </cell>
          <cell r="J249">
            <v>43.163299444373351</v>
          </cell>
        </row>
        <row r="250">
          <cell r="A250">
            <v>239</v>
          </cell>
          <cell r="J250">
            <v>43.818001611366142</v>
          </cell>
        </row>
        <row r="251">
          <cell r="A251">
            <v>240</v>
          </cell>
          <cell r="J251">
            <v>44.20526493426172</v>
          </cell>
        </row>
        <row r="252">
          <cell r="A252">
            <v>241</v>
          </cell>
          <cell r="J252">
            <v>45.125356334988176</v>
          </cell>
        </row>
        <row r="253">
          <cell r="A253">
            <v>242</v>
          </cell>
          <cell r="J253">
            <v>44.797400461549586</v>
          </cell>
        </row>
        <row r="254">
          <cell r="A254">
            <v>243</v>
          </cell>
          <cell r="J254">
            <v>44.842701951965495</v>
          </cell>
        </row>
        <row r="255">
          <cell r="A255">
            <v>244</v>
          </cell>
          <cell r="J255">
            <v>43.707294830409978</v>
          </cell>
        </row>
        <row r="256">
          <cell r="A256">
            <v>245</v>
          </cell>
          <cell r="J256">
            <v>44.817787428143973</v>
          </cell>
        </row>
        <row r="257">
          <cell r="A257">
            <v>246</v>
          </cell>
          <cell r="J257">
            <v>46.405265131692431</v>
          </cell>
        </row>
        <row r="258">
          <cell r="A258">
            <v>247</v>
          </cell>
          <cell r="J258">
            <v>46.537720954681468</v>
          </cell>
        </row>
        <row r="259">
          <cell r="A259">
            <v>248</v>
          </cell>
          <cell r="J259">
            <v>46.944743533633265</v>
          </cell>
        </row>
        <row r="260">
          <cell r="A260">
            <v>249</v>
          </cell>
          <cell r="J260">
            <v>46.791487381403051</v>
          </cell>
        </row>
        <row r="261">
          <cell r="A261">
            <v>250</v>
          </cell>
          <cell r="J261">
            <v>47.10022869838788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B13" sqref="B13"/>
    </sheetView>
  </sheetViews>
  <sheetFormatPr defaultRowHeight="14.4" x14ac:dyDescent="0.3"/>
  <cols>
    <col min="1" max="1" width="25.6640625" customWidth="1"/>
    <col min="2" max="2" width="13.5546875" customWidth="1"/>
    <col min="5" max="5" width="11.109375" customWidth="1"/>
  </cols>
  <sheetData>
    <row r="1" spans="1:8" ht="30" customHeight="1" x14ac:dyDescent="0.3">
      <c r="A1" s="4" t="s">
        <v>0</v>
      </c>
      <c r="B1" s="4"/>
      <c r="C1" s="4"/>
      <c r="D1" s="4"/>
      <c r="E1" s="4"/>
      <c r="F1" s="4"/>
      <c r="G1" s="4"/>
      <c r="H1" s="4"/>
    </row>
    <row r="3" spans="1:8" x14ac:dyDescent="0.3">
      <c r="A3" s="3" t="s">
        <v>1</v>
      </c>
      <c r="B3" s="3"/>
      <c r="C3" s="3"/>
      <c r="D3" s="3"/>
      <c r="E3" s="3"/>
      <c r="F3" s="3"/>
      <c r="G3" s="3"/>
      <c r="H3" s="3"/>
    </row>
    <row r="4" spans="1:8" x14ac:dyDescent="0.3">
      <c r="A4" s="3" t="s">
        <v>2</v>
      </c>
      <c r="B4" s="3"/>
      <c r="C4" s="3"/>
      <c r="D4" s="3"/>
      <c r="E4" s="3"/>
      <c r="F4" s="3"/>
      <c r="G4" s="3"/>
      <c r="H4" s="3"/>
    </row>
    <row r="5" spans="1:8" ht="19.5" customHeight="1" x14ac:dyDescent="0.3">
      <c r="A5" s="4" t="s">
        <v>3</v>
      </c>
      <c r="B5" s="4"/>
      <c r="C5" s="4"/>
      <c r="D5" s="4"/>
      <c r="E5" s="4"/>
      <c r="F5" s="4"/>
      <c r="G5" s="4"/>
      <c r="H5" s="4"/>
    </row>
    <row r="6" spans="1:8" ht="17.25" customHeight="1" x14ac:dyDescent="0.3">
      <c r="A6" s="4" t="s">
        <v>4</v>
      </c>
      <c r="B6" s="4"/>
      <c r="C6" s="4"/>
      <c r="D6" s="4"/>
      <c r="E6" s="4"/>
      <c r="F6" s="4"/>
      <c r="G6" s="4"/>
      <c r="H6" s="4"/>
    </row>
    <row r="7" spans="1:8" x14ac:dyDescent="0.3">
      <c r="A7" s="3" t="s">
        <v>5</v>
      </c>
      <c r="B7" s="3"/>
      <c r="C7" s="3"/>
      <c r="D7" s="3"/>
      <c r="E7" s="3"/>
      <c r="F7" s="3"/>
      <c r="G7" s="3"/>
      <c r="H7" s="3"/>
    </row>
    <row r="8" spans="1:8" x14ac:dyDescent="0.3">
      <c r="A8" s="3" t="s">
        <v>6</v>
      </c>
      <c r="B8" s="3"/>
      <c r="C8" s="3"/>
      <c r="D8" s="3"/>
      <c r="E8" s="3"/>
      <c r="F8" s="3"/>
      <c r="G8" s="3"/>
      <c r="H8" s="3"/>
    </row>
    <row r="9" spans="1:8" x14ac:dyDescent="0.3">
      <c r="A9" s="3" t="s">
        <v>18</v>
      </c>
      <c r="B9" s="3"/>
      <c r="C9" s="3"/>
      <c r="D9" s="3"/>
      <c r="E9" s="3"/>
      <c r="F9" s="3"/>
      <c r="G9" s="3"/>
      <c r="H9" s="3"/>
    </row>
    <row r="11" spans="1:8" ht="45" customHeight="1" x14ac:dyDescent="0.3">
      <c r="B11" s="1" t="s">
        <v>17</v>
      </c>
      <c r="C11" s="1" t="s">
        <v>13</v>
      </c>
      <c r="D11" s="1" t="s">
        <v>14</v>
      </c>
      <c r="E11" s="1" t="s">
        <v>15</v>
      </c>
      <c r="F11" s="1" t="s">
        <v>16</v>
      </c>
    </row>
    <row r="12" spans="1:8" x14ac:dyDescent="0.3">
      <c r="A12" t="s">
        <v>7</v>
      </c>
      <c r="B12">
        <v>1</v>
      </c>
      <c r="C12">
        <f>(1+0.1/B12)^(B12) -1</f>
        <v>0.10000000000000009</v>
      </c>
      <c r="D12" t="str">
        <f>CONCATENATE(ROUND(C12*100,3),"%")</f>
        <v>10%</v>
      </c>
      <c r="E12">
        <f>B12*((1+C12)^(1/B12) -1)</f>
        <v>0.10000000000000009</v>
      </c>
      <c r="F12" t="str">
        <f>CONCATENATE(ROUND(E12*100,3),"%")</f>
        <v>10%</v>
      </c>
    </row>
    <row r="13" spans="1:8" x14ac:dyDescent="0.3">
      <c r="A13" t="s">
        <v>8</v>
      </c>
      <c r="B13">
        <v>2</v>
      </c>
      <c r="C13">
        <f t="shared" ref="C13:C17" si="0">(1+0.1/B13)^(B13) -1</f>
        <v>0.10250000000000004</v>
      </c>
      <c r="D13" t="str">
        <f t="shared" ref="D13:D17" si="1">CONCATENATE(ROUND(C13*100,3),"%")</f>
        <v>10.25%</v>
      </c>
      <c r="E13">
        <f t="shared" ref="E13:E17" si="2">B13*((1+C13)^(1/B13) -1)</f>
        <v>0.10000000000000009</v>
      </c>
      <c r="F13" t="str">
        <f t="shared" ref="F13:F17" si="3">CONCATENATE(ROUND(E13*100,3),"%")</f>
        <v>10%</v>
      </c>
    </row>
    <row r="14" spans="1:8" x14ac:dyDescent="0.3">
      <c r="A14" t="s">
        <v>9</v>
      </c>
      <c r="B14">
        <v>4</v>
      </c>
      <c r="C14">
        <f t="shared" si="0"/>
        <v>0.10381289062499977</v>
      </c>
      <c r="D14" t="str">
        <f t="shared" si="1"/>
        <v>10.381%</v>
      </c>
      <c r="E14">
        <f t="shared" si="2"/>
        <v>9.9999999999999645E-2</v>
      </c>
      <c r="F14" t="str">
        <f t="shared" si="3"/>
        <v>10%</v>
      </c>
    </row>
    <row r="15" spans="1:8" x14ac:dyDescent="0.3">
      <c r="A15" t="s">
        <v>10</v>
      </c>
      <c r="B15">
        <v>12</v>
      </c>
      <c r="C15">
        <f t="shared" si="0"/>
        <v>0.10471306744129683</v>
      </c>
      <c r="D15" t="str">
        <f t="shared" si="1"/>
        <v>10.471%</v>
      </c>
      <c r="E15">
        <f t="shared" si="2"/>
        <v>9.9999999999999645E-2</v>
      </c>
      <c r="F15" t="str">
        <f t="shared" si="3"/>
        <v>10%</v>
      </c>
    </row>
    <row r="16" spans="1:8" x14ac:dyDescent="0.3">
      <c r="A16" t="s">
        <v>11</v>
      </c>
      <c r="B16">
        <v>52</v>
      </c>
      <c r="C16">
        <f t="shared" si="0"/>
        <v>0.10506479277976588</v>
      </c>
      <c r="D16" t="str">
        <f t="shared" si="1"/>
        <v>10.506%</v>
      </c>
      <c r="E16">
        <f t="shared" si="2"/>
        <v>9.9999999999999645E-2</v>
      </c>
      <c r="F16" t="str">
        <f t="shared" si="3"/>
        <v>10%</v>
      </c>
    </row>
    <row r="17" spans="1:6" x14ac:dyDescent="0.3">
      <c r="A17" t="s">
        <v>12</v>
      </c>
      <c r="B17">
        <v>365</v>
      </c>
      <c r="C17">
        <f t="shared" si="0"/>
        <v>0.10515578161622718</v>
      </c>
      <c r="D17" t="str">
        <f t="shared" si="1"/>
        <v>10.516%</v>
      </c>
      <c r="E17">
        <f t="shared" si="2"/>
        <v>9.9999999999971223E-2</v>
      </c>
      <c r="F17" t="str">
        <f t="shared" si="3"/>
        <v>10%</v>
      </c>
    </row>
  </sheetData>
  <mergeCells count="8">
    <mergeCell ref="A8:H8"/>
    <mergeCell ref="A9:H9"/>
    <mergeCell ref="A1:H1"/>
    <mergeCell ref="A3:H3"/>
    <mergeCell ref="A4:H4"/>
    <mergeCell ref="A5:H5"/>
    <mergeCell ref="A6:H6"/>
    <mergeCell ref="A7:H7"/>
  </mergeCells>
  <pageMargins left="0.7" right="0.7" top="0.75" bottom="0.75" header="0.3" footer="0.3"/>
  <ignoredErrors>
    <ignoredError sqref="E12:E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selection activeCell="C11" sqref="C11"/>
    </sheetView>
  </sheetViews>
  <sheetFormatPr defaultRowHeight="14.4" x14ac:dyDescent="0.3"/>
  <cols>
    <col min="1" max="1" width="25.44140625" customWidth="1"/>
    <col min="2" max="2" width="13.44140625" customWidth="1"/>
    <col min="5" max="5" width="11.33203125" customWidth="1"/>
  </cols>
  <sheetData>
    <row r="1" spans="1:8" x14ac:dyDescent="0.3">
      <c r="A1" s="3" t="s">
        <v>2</v>
      </c>
      <c r="B1" s="3"/>
      <c r="C1" s="3"/>
      <c r="D1" s="3"/>
      <c r="E1" s="3"/>
      <c r="F1" s="3"/>
      <c r="G1" s="3"/>
      <c r="H1" s="3"/>
    </row>
    <row r="2" spans="1:8" x14ac:dyDescent="0.3">
      <c r="A2" s="4" t="s">
        <v>3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4</v>
      </c>
      <c r="B3" s="4"/>
      <c r="C3" s="4"/>
      <c r="D3" s="4"/>
      <c r="E3" s="4"/>
      <c r="F3" s="4"/>
      <c r="G3" s="4"/>
      <c r="H3" s="4"/>
    </row>
    <row r="4" spans="1:8" x14ac:dyDescent="0.3">
      <c r="A4" s="3" t="s">
        <v>5</v>
      </c>
      <c r="B4" s="3"/>
      <c r="C4" s="3"/>
      <c r="D4" s="3"/>
      <c r="E4" s="3"/>
      <c r="F4" s="3"/>
      <c r="G4" s="3"/>
      <c r="H4" s="3"/>
    </row>
    <row r="5" spans="1:8" x14ac:dyDescent="0.3">
      <c r="A5" s="3" t="s">
        <v>6</v>
      </c>
      <c r="B5" s="3"/>
      <c r="C5" s="3"/>
      <c r="D5" s="3"/>
      <c r="E5" s="3"/>
      <c r="F5" s="3"/>
      <c r="G5" s="3"/>
      <c r="H5" s="3"/>
    </row>
    <row r="6" spans="1:8" x14ac:dyDescent="0.3">
      <c r="A6" s="3" t="s">
        <v>18</v>
      </c>
      <c r="B6" s="3"/>
      <c r="C6" s="3"/>
      <c r="D6" s="3"/>
      <c r="E6" s="3"/>
      <c r="F6" s="3"/>
      <c r="G6" s="3"/>
      <c r="H6" s="3"/>
    </row>
    <row r="8" spans="1:8" ht="45.75" customHeight="1" x14ac:dyDescent="0.3">
      <c r="A8" s="1"/>
      <c r="B8" s="1" t="s">
        <v>17</v>
      </c>
      <c r="C8" s="1" t="s">
        <v>13</v>
      </c>
      <c r="D8" s="1" t="s">
        <v>14</v>
      </c>
      <c r="E8" s="1" t="s">
        <v>15</v>
      </c>
      <c r="F8" s="1" t="s">
        <v>16</v>
      </c>
    </row>
    <row r="9" spans="1:8" x14ac:dyDescent="0.3">
      <c r="A9" t="s">
        <v>7</v>
      </c>
      <c r="B9">
        <v>1</v>
      </c>
      <c r="C9">
        <f>EFFECT(0.1,B9)</f>
        <v>0.10000000000000009</v>
      </c>
      <c r="D9" t="str">
        <f>CONCATENATE(ROUND(C9*100,3),"%")</f>
        <v>10%</v>
      </c>
      <c r="E9">
        <f>NOMINAL(C9,B9)</f>
        <v>0.10000000000000009</v>
      </c>
      <c r="F9" t="str">
        <f>CONCATENATE(ROUND(E9*100,3),"%")</f>
        <v>10%</v>
      </c>
      <c r="G9" s="2"/>
    </row>
    <row r="10" spans="1:8" x14ac:dyDescent="0.3">
      <c r="A10" t="s">
        <v>8</v>
      </c>
      <c r="B10">
        <v>2</v>
      </c>
      <c r="C10">
        <f t="shared" ref="C10:C14" si="0">EFFECT(0.1,B10)</f>
        <v>0.10250000000000004</v>
      </c>
      <c r="D10" t="str">
        <f t="shared" ref="D10:D14" si="1">CONCATENATE(ROUND(C10*100,3),"%")</f>
        <v>10.25%</v>
      </c>
      <c r="E10">
        <f t="shared" ref="E10:E14" si="2">NOMINAL(C10,B10)</f>
        <v>0.10000000000000009</v>
      </c>
      <c r="F10" t="str">
        <f t="shared" ref="F10:F14" si="3">CONCATENATE(ROUND(E10*100,3),"%")</f>
        <v>10%</v>
      </c>
    </row>
    <row r="11" spans="1:8" x14ac:dyDescent="0.3">
      <c r="A11" t="s">
        <v>9</v>
      </c>
      <c r="B11">
        <v>4</v>
      </c>
      <c r="C11">
        <f t="shared" si="0"/>
        <v>0.10381289062499977</v>
      </c>
      <c r="D11" t="str">
        <f t="shared" si="1"/>
        <v>10.381%</v>
      </c>
      <c r="E11">
        <f t="shared" si="2"/>
        <v>9.9999999999999645E-2</v>
      </c>
      <c r="F11" t="str">
        <f t="shared" si="3"/>
        <v>10%</v>
      </c>
    </row>
    <row r="12" spans="1:8" x14ac:dyDescent="0.3">
      <c r="A12" t="s">
        <v>10</v>
      </c>
      <c r="B12">
        <v>12</v>
      </c>
      <c r="C12">
        <f t="shared" si="0"/>
        <v>0.10471306744129683</v>
      </c>
      <c r="D12" t="str">
        <f t="shared" si="1"/>
        <v>10.471%</v>
      </c>
      <c r="E12">
        <f t="shared" si="2"/>
        <v>9.9999999999999645E-2</v>
      </c>
      <c r="F12" t="str">
        <f t="shared" si="3"/>
        <v>10%</v>
      </c>
    </row>
    <row r="13" spans="1:8" x14ac:dyDescent="0.3">
      <c r="A13" t="s">
        <v>11</v>
      </c>
      <c r="B13">
        <v>52</v>
      </c>
      <c r="C13">
        <f t="shared" si="0"/>
        <v>0.10506479277976588</v>
      </c>
      <c r="D13" t="str">
        <f t="shared" si="1"/>
        <v>10.506%</v>
      </c>
      <c r="E13">
        <f t="shared" si="2"/>
        <v>9.9999999999999645E-2</v>
      </c>
      <c r="F13" t="str">
        <f t="shared" si="3"/>
        <v>10%</v>
      </c>
    </row>
    <row r="14" spans="1:8" x14ac:dyDescent="0.3">
      <c r="A14" t="s">
        <v>12</v>
      </c>
      <c r="B14">
        <v>365</v>
      </c>
      <c r="C14">
        <f t="shared" si="0"/>
        <v>0.10515578161622718</v>
      </c>
      <c r="D14" t="str">
        <f t="shared" si="1"/>
        <v>10.516%</v>
      </c>
      <c r="E14">
        <f t="shared" si="2"/>
        <v>9.9999999999971223E-2</v>
      </c>
      <c r="F14" t="str">
        <f t="shared" si="3"/>
        <v>10%</v>
      </c>
    </row>
  </sheetData>
  <mergeCells count="6">
    <mergeCell ref="A6:H6"/>
    <mergeCell ref="A1:H1"/>
    <mergeCell ref="A2:H2"/>
    <mergeCell ref="A3:H3"/>
    <mergeCell ref="A4:H4"/>
    <mergeCell ref="A5:H5"/>
  </mergeCells>
  <pageMargins left="0.7" right="0.7" top="0.75" bottom="0.75" header="0.3" footer="0.3"/>
  <ignoredErrors>
    <ignoredError sqref="E9:E1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695E-6632-47F8-A98D-EC1438EC2DE6}">
  <dimension ref="A2:N54"/>
  <sheetViews>
    <sheetView topLeftCell="A25" workbookViewId="0">
      <selection activeCell="C47" sqref="C47"/>
    </sheetView>
  </sheetViews>
  <sheetFormatPr defaultRowHeight="14.4" x14ac:dyDescent="0.3"/>
  <cols>
    <col min="1" max="1" width="14.33203125" customWidth="1"/>
    <col min="2" max="2" width="10.44140625" customWidth="1"/>
    <col min="3" max="3" width="11" customWidth="1"/>
    <col min="4" max="4" width="13.109375" customWidth="1"/>
  </cols>
  <sheetData>
    <row r="2" spans="1:14" ht="31.5" customHeight="1" x14ac:dyDescent="0.3">
      <c r="A2" s="4" t="s">
        <v>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x14ac:dyDescent="0.3">
      <c r="A4" t="s">
        <v>20</v>
      </c>
      <c r="B4">
        <v>100</v>
      </c>
    </row>
    <row r="5" spans="1:14" ht="29.25" customHeight="1" x14ac:dyDescent="0.3">
      <c r="A5" s="1" t="s">
        <v>21</v>
      </c>
      <c r="B5" s="2">
        <v>0.04</v>
      </c>
    </row>
    <row r="6" spans="1:14" x14ac:dyDescent="0.3">
      <c r="A6" t="s">
        <v>22</v>
      </c>
      <c r="B6">
        <v>2.5</v>
      </c>
    </row>
    <row r="7" spans="1:14" x14ac:dyDescent="0.3">
      <c r="A7" t="s">
        <v>23</v>
      </c>
      <c r="B7">
        <v>2</v>
      </c>
    </row>
    <row r="10" spans="1:14" ht="28.8" x14ac:dyDescent="0.3">
      <c r="A10" t="s">
        <v>22</v>
      </c>
      <c r="B10" t="s">
        <v>24</v>
      </c>
      <c r="C10" t="s">
        <v>25</v>
      </c>
      <c r="D10" t="s">
        <v>26</v>
      </c>
      <c r="E10" s="1" t="s">
        <v>27</v>
      </c>
    </row>
    <row r="11" spans="1:14" x14ac:dyDescent="0.3">
      <c r="A11">
        <v>0.5</v>
      </c>
      <c r="B11" s="2">
        <v>0.04</v>
      </c>
      <c r="C11">
        <f>$B$4*$B$5/$B$7</f>
        <v>2</v>
      </c>
      <c r="D11">
        <f>C11*EXP(-B11*A11)</f>
        <v>1.9603973466135105</v>
      </c>
      <c r="E11">
        <f>C11*EXP(-$D$18*A11)</f>
        <v>1.9521650010267748</v>
      </c>
    </row>
    <row r="12" spans="1:14" x14ac:dyDescent="0.3">
      <c r="A12">
        <v>1</v>
      </c>
      <c r="B12" s="5">
        <v>4.2000000000000003E-2</v>
      </c>
      <c r="C12">
        <f t="shared" ref="C12:C14" si="0">$B$4*$B$5/$B$7</f>
        <v>2</v>
      </c>
      <c r="D12">
        <f t="shared" ref="D12:D15" si="1">C12*EXP(-B12*A12)</f>
        <v>1.917739561144969</v>
      </c>
      <c r="E12">
        <f t="shared" ref="E12:E15" si="2">C12*EXP(-$D$18*A12)</f>
        <v>1.905474095616934</v>
      </c>
    </row>
    <row r="13" spans="1:14" x14ac:dyDescent="0.3">
      <c r="A13">
        <v>1.5</v>
      </c>
      <c r="B13" s="5">
        <v>4.3999999999999997E-2</v>
      </c>
      <c r="C13">
        <f t="shared" si="0"/>
        <v>2</v>
      </c>
      <c r="D13">
        <f t="shared" si="1"/>
        <v>1.8722617285832377</v>
      </c>
      <c r="E13">
        <f t="shared" si="2"/>
        <v>1.8598999199132624</v>
      </c>
    </row>
    <row r="14" spans="1:14" x14ac:dyDescent="0.3">
      <c r="A14">
        <v>2</v>
      </c>
      <c r="B14" s="5">
        <v>4.5999999999999999E-2</v>
      </c>
      <c r="C14">
        <f t="shared" si="0"/>
        <v>2</v>
      </c>
      <c r="D14">
        <f t="shared" si="1"/>
        <v>1.8242102990901807</v>
      </c>
      <c r="E14">
        <f t="shared" si="2"/>
        <v>1.8154157645335862</v>
      </c>
    </row>
    <row r="15" spans="1:14" x14ac:dyDescent="0.3">
      <c r="A15">
        <v>2.5</v>
      </c>
      <c r="B15" s="5">
        <v>4.8000000000000001E-2</v>
      </c>
      <c r="C15">
        <f>B4*$B$5/$B$7 + $B$4</f>
        <v>102</v>
      </c>
      <c r="D15">
        <f t="shared" si="1"/>
        <v>90.465884545150061</v>
      </c>
      <c r="E15">
        <f t="shared" si="2"/>
        <v>90.371773504785665</v>
      </c>
    </row>
    <row r="17" spans="1:14" x14ac:dyDescent="0.3">
      <c r="C17" t="s">
        <v>28</v>
      </c>
      <c r="D17">
        <f>SUM(D11:D15)</f>
        <v>98.040493480581958</v>
      </c>
      <c r="E17">
        <f>SUM(E11:E15)</f>
        <v>97.904728285876217</v>
      </c>
    </row>
    <row r="18" spans="1:14" x14ac:dyDescent="0.3">
      <c r="C18" t="s">
        <v>29</v>
      </c>
      <c r="D18" s="6">
        <f>RATE(B6*B7,B4*B5/B7,-D17,B4)*2</f>
        <v>4.8416333853801972E-2</v>
      </c>
    </row>
    <row r="20" spans="1:14" x14ac:dyDescent="0.3">
      <c r="A20" s="4" t="s">
        <v>30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2" spans="1:14" x14ac:dyDescent="0.3">
      <c r="A22" t="s">
        <v>20</v>
      </c>
      <c r="B22">
        <v>100</v>
      </c>
    </row>
    <row r="23" spans="1:14" ht="28.8" x14ac:dyDescent="0.3">
      <c r="A23" s="1" t="s">
        <v>21</v>
      </c>
      <c r="B23" s="2">
        <v>0.08</v>
      </c>
    </row>
    <row r="24" spans="1:14" x14ac:dyDescent="0.3">
      <c r="A24" t="s">
        <v>22</v>
      </c>
      <c r="B24">
        <v>3</v>
      </c>
    </row>
    <row r="25" spans="1:14" x14ac:dyDescent="0.3">
      <c r="A25" t="s">
        <v>23</v>
      </c>
      <c r="B25">
        <v>2</v>
      </c>
    </row>
    <row r="26" spans="1:14" x14ac:dyDescent="0.3">
      <c r="A26" t="s">
        <v>31</v>
      </c>
      <c r="B26">
        <v>104</v>
      </c>
    </row>
    <row r="27" spans="1:14" x14ac:dyDescent="0.3">
      <c r="A27" t="s">
        <v>29</v>
      </c>
      <c r="B27" s="6">
        <f>RATE($B$24*$B$25,$B$22*$B$23/$B$25,-$B$26,$B$22)*2</f>
        <v>6.5106974449007343E-2</v>
      </c>
    </row>
    <row r="28" spans="1:14" ht="28.8" x14ac:dyDescent="0.3">
      <c r="A28" t="s">
        <v>22</v>
      </c>
      <c r="B28" t="s">
        <v>25</v>
      </c>
      <c r="C28" s="1" t="s">
        <v>27</v>
      </c>
    </row>
    <row r="29" spans="1:14" x14ac:dyDescent="0.3">
      <c r="A29">
        <v>0.5</v>
      </c>
      <c r="B29">
        <f>$B$22*$B$23/$B$25</f>
        <v>4</v>
      </c>
      <c r="C29">
        <f>B29*EXP(-$B$27*A29)</f>
        <v>3.8718826975275289</v>
      </c>
    </row>
    <row r="30" spans="1:14" x14ac:dyDescent="0.3">
      <c r="A30">
        <v>1</v>
      </c>
      <c r="B30">
        <f t="shared" ref="B30:B32" si="3">$B$22*$B$23/$B$25</f>
        <v>4</v>
      </c>
      <c r="C30">
        <f t="shared" ref="C30:C34" si="4">B30*EXP(-$B$27*A30)</f>
        <v>3.7478689058532635</v>
      </c>
    </row>
    <row r="31" spans="1:14" x14ac:dyDescent="0.3">
      <c r="A31">
        <v>1.5</v>
      </c>
      <c r="B31">
        <f t="shared" si="3"/>
        <v>4</v>
      </c>
      <c r="C31">
        <f t="shared" si="4"/>
        <v>3.6278271922936702</v>
      </c>
    </row>
    <row r="32" spans="1:14" x14ac:dyDescent="0.3">
      <c r="A32">
        <v>2</v>
      </c>
      <c r="B32">
        <f t="shared" si="3"/>
        <v>4</v>
      </c>
      <c r="C32">
        <f t="shared" si="4"/>
        <v>3.5116303338654342</v>
      </c>
    </row>
    <row r="33" spans="1:14" x14ac:dyDescent="0.3">
      <c r="A33">
        <v>2.5</v>
      </c>
      <c r="B33">
        <f>B22*$B$23/$B$25</f>
        <v>4</v>
      </c>
      <c r="C33">
        <f t="shared" si="4"/>
        <v>3.3991551824515986</v>
      </c>
    </row>
    <row r="34" spans="1:14" x14ac:dyDescent="0.3">
      <c r="A34">
        <v>3</v>
      </c>
      <c r="B34">
        <f>B22*$B$23/$B$25+B22</f>
        <v>104</v>
      </c>
      <c r="C34">
        <f t="shared" si="4"/>
        <v>85.547345891444948</v>
      </c>
    </row>
    <row r="36" spans="1:14" x14ac:dyDescent="0.3">
      <c r="B36" t="s">
        <v>31</v>
      </c>
      <c r="C36">
        <f>SUM(C29:C34)</f>
        <v>103.70571020343644</v>
      </c>
      <c r="D36" s="6"/>
    </row>
    <row r="38" spans="1:14" x14ac:dyDescent="0.3">
      <c r="A38" s="3" t="s">
        <v>32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40" spans="1:14" x14ac:dyDescent="0.3">
      <c r="A40" t="s">
        <v>20</v>
      </c>
      <c r="B40">
        <v>100</v>
      </c>
    </row>
    <row r="41" spans="1:14" ht="28.8" x14ac:dyDescent="0.3">
      <c r="A41" s="1" t="s">
        <v>21</v>
      </c>
      <c r="B41" s="2">
        <v>0.08</v>
      </c>
    </row>
    <row r="42" spans="1:14" x14ac:dyDescent="0.3">
      <c r="A42" t="s">
        <v>22</v>
      </c>
      <c r="B42">
        <v>5</v>
      </c>
    </row>
    <row r="43" spans="1:14" x14ac:dyDescent="0.3">
      <c r="A43" t="s">
        <v>23</v>
      </c>
      <c r="B43">
        <v>1</v>
      </c>
    </row>
    <row r="44" spans="1:14" x14ac:dyDescent="0.3">
      <c r="A44" t="s">
        <v>29</v>
      </c>
      <c r="B44" s="2">
        <v>7.0000000000000007E-2</v>
      </c>
    </row>
    <row r="45" spans="1:14" x14ac:dyDescent="0.3">
      <c r="B45" s="6"/>
    </row>
    <row r="46" spans="1:14" ht="28.8" x14ac:dyDescent="0.3">
      <c r="A46" t="s">
        <v>22</v>
      </c>
      <c r="B46" t="s">
        <v>25</v>
      </c>
      <c r="C46" s="1" t="s">
        <v>27</v>
      </c>
    </row>
    <row r="47" spans="1:14" x14ac:dyDescent="0.3">
      <c r="A47">
        <v>1</v>
      </c>
      <c r="B47">
        <f>$B$40*$B$41/$B$43</f>
        <v>8</v>
      </c>
      <c r="C47">
        <f>B47*EXP(-$B$44*A47)</f>
        <v>7.4591505592475862</v>
      </c>
    </row>
    <row r="48" spans="1:14" x14ac:dyDescent="0.3">
      <c r="A48">
        <v>2</v>
      </c>
      <c r="B48">
        <f t="shared" ref="B48:B50" si="5">$B$40*$B$41/$B$43</f>
        <v>8</v>
      </c>
      <c r="C48">
        <f t="shared" ref="C48:C51" si="6">B48*EXP(-$B$44*A48)</f>
        <v>6.9548658831904469</v>
      </c>
    </row>
    <row r="49" spans="1:3" x14ac:dyDescent="0.3">
      <c r="A49">
        <v>3</v>
      </c>
      <c r="B49">
        <f t="shared" si="5"/>
        <v>8</v>
      </c>
      <c r="C49">
        <f t="shared" si="6"/>
        <v>6.4846739677614966</v>
      </c>
    </row>
    <row r="50" spans="1:3" x14ac:dyDescent="0.3">
      <c r="A50">
        <v>4</v>
      </c>
      <c r="B50">
        <f t="shared" si="5"/>
        <v>8</v>
      </c>
      <c r="C50">
        <f t="shared" si="6"/>
        <v>6.0462699316458037</v>
      </c>
    </row>
    <row r="51" spans="1:3" x14ac:dyDescent="0.3">
      <c r="A51">
        <v>5</v>
      </c>
      <c r="B51">
        <f>$B$40*$B$41/$B$43+B40</f>
        <v>108</v>
      </c>
      <c r="C51">
        <f t="shared" si="6"/>
        <v>76.106313689621047</v>
      </c>
    </row>
    <row r="54" spans="1:3" x14ac:dyDescent="0.3">
      <c r="B54" t="s">
        <v>31</v>
      </c>
      <c r="C54">
        <f>SUM(C47:C52)</f>
        <v>103.05127403146638</v>
      </c>
    </row>
  </sheetData>
  <mergeCells count="3">
    <mergeCell ref="A2:N2"/>
    <mergeCell ref="A20:N20"/>
    <mergeCell ref="A38:N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27489-99A4-4DA7-9450-F53671F7C31C}">
  <dimension ref="A1:H11"/>
  <sheetViews>
    <sheetView workbookViewId="0">
      <selection activeCell="E25" sqref="E25"/>
    </sheetView>
  </sheetViews>
  <sheetFormatPr defaultRowHeight="14.4" x14ac:dyDescent="0.3"/>
  <cols>
    <col min="1" max="1" width="25.109375" customWidth="1"/>
    <col min="2" max="2" width="23.88671875" customWidth="1"/>
    <col min="4" max="4" width="21.88671875" customWidth="1"/>
    <col min="5" max="5" width="17.88671875" customWidth="1"/>
    <col min="7" max="7" width="21.5546875" customWidth="1"/>
    <col min="8" max="8" width="17.77734375" customWidth="1"/>
  </cols>
  <sheetData>
    <row r="1" spans="1:8" x14ac:dyDescent="0.3">
      <c r="A1" s="7" t="s">
        <v>33</v>
      </c>
      <c r="B1" s="7"/>
      <c r="D1" s="7" t="s">
        <v>28</v>
      </c>
      <c r="E1" s="7"/>
      <c r="G1" s="7" t="s">
        <v>34</v>
      </c>
      <c r="H1" s="7"/>
    </row>
    <row r="3" spans="1:8" x14ac:dyDescent="0.3">
      <c r="A3" t="s">
        <v>35</v>
      </c>
      <c r="B3" s="8">
        <v>45687</v>
      </c>
      <c r="D3" t="s">
        <v>35</v>
      </c>
      <c r="E3" s="8">
        <v>45687</v>
      </c>
      <c r="G3" t="s">
        <v>35</v>
      </c>
      <c r="H3" s="8">
        <v>45672</v>
      </c>
    </row>
    <row r="4" spans="1:8" x14ac:dyDescent="0.3">
      <c r="A4" t="s">
        <v>36</v>
      </c>
      <c r="B4" s="8">
        <v>46782</v>
      </c>
      <c r="D4" t="s">
        <v>36</v>
      </c>
      <c r="E4" s="8">
        <v>46782</v>
      </c>
      <c r="G4" t="s">
        <v>36</v>
      </c>
      <c r="H4" s="8">
        <v>46402</v>
      </c>
    </row>
    <row r="5" spans="1:8" x14ac:dyDescent="0.3">
      <c r="A5" t="s">
        <v>20</v>
      </c>
      <c r="B5">
        <v>100</v>
      </c>
      <c r="D5" t="s">
        <v>37</v>
      </c>
      <c r="E5" s="2">
        <v>0.06</v>
      </c>
      <c r="G5" t="s">
        <v>38</v>
      </c>
      <c r="H5" s="2">
        <v>0.06</v>
      </c>
    </row>
    <row r="6" spans="1:8" x14ac:dyDescent="0.3">
      <c r="A6" t="s">
        <v>39</v>
      </c>
      <c r="B6" s="2">
        <v>0.1</v>
      </c>
      <c r="D6" t="s">
        <v>40</v>
      </c>
      <c r="E6" s="5">
        <v>5.8000000000000003E-2</v>
      </c>
      <c r="G6" t="s">
        <v>41</v>
      </c>
      <c r="H6" s="9">
        <v>98.39</v>
      </c>
    </row>
    <row r="7" spans="1:8" x14ac:dyDescent="0.3">
      <c r="A7" t="s">
        <v>42</v>
      </c>
      <c r="B7" s="2">
        <v>0.12</v>
      </c>
      <c r="D7" t="s">
        <v>43</v>
      </c>
      <c r="E7">
        <v>100</v>
      </c>
      <c r="G7" t="s">
        <v>44</v>
      </c>
      <c r="H7" s="10">
        <v>100</v>
      </c>
    </row>
    <row r="8" spans="1:8" x14ac:dyDescent="0.3">
      <c r="A8" t="s">
        <v>45</v>
      </c>
      <c r="B8">
        <v>2</v>
      </c>
      <c r="D8" t="s">
        <v>45</v>
      </c>
      <c r="E8">
        <v>2</v>
      </c>
      <c r="G8" t="s">
        <v>45</v>
      </c>
      <c r="H8">
        <v>2</v>
      </c>
    </row>
    <row r="11" spans="1:8" x14ac:dyDescent="0.3">
      <c r="A11" t="s">
        <v>46</v>
      </c>
      <c r="B11">
        <f>DURATION(B3,B4,B6,B7,B8)</f>
        <v>2.6548458973330673</v>
      </c>
      <c r="D11" t="s">
        <v>28</v>
      </c>
      <c r="E11">
        <f>PRICE(E3,E4,E5,E6,E7,E8)</f>
        <v>100.54351921945207</v>
      </c>
      <c r="G11" t="s">
        <v>47</v>
      </c>
      <c r="H11">
        <f>YIELD(H3,H4,H5,H6,H7,H8)</f>
        <v>6.8753520161978013E-2</v>
      </c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2E7C-3B6A-4C5E-A2E8-2E7AAAB91E07}">
  <dimension ref="A1:E13"/>
  <sheetViews>
    <sheetView workbookViewId="0">
      <selection activeCell="E16" sqref="E16"/>
    </sheetView>
  </sheetViews>
  <sheetFormatPr defaultRowHeight="14.4" x14ac:dyDescent="0.3"/>
  <cols>
    <col min="1" max="1" width="9.33203125" customWidth="1"/>
    <col min="2" max="2" width="23.5546875" customWidth="1"/>
    <col min="3" max="3" width="16.21875" customWidth="1"/>
    <col min="4" max="4" width="21.88671875" customWidth="1"/>
    <col min="5" max="5" width="28.21875" customWidth="1"/>
  </cols>
  <sheetData>
    <row r="1" spans="1:5" ht="33.6" customHeight="1" x14ac:dyDescent="0.3">
      <c r="A1" s="11" t="s">
        <v>48</v>
      </c>
      <c r="B1" s="11"/>
      <c r="C1" s="11"/>
      <c r="D1" s="11"/>
      <c r="E1" s="11"/>
    </row>
    <row r="3" spans="1:5" ht="57.6" x14ac:dyDescent="0.3">
      <c r="A3" t="s">
        <v>49</v>
      </c>
      <c r="B3" s="1" t="s">
        <v>50</v>
      </c>
      <c r="C3" s="1" t="s">
        <v>51</v>
      </c>
    </row>
    <row r="4" spans="1:5" x14ac:dyDescent="0.3">
      <c r="A4">
        <v>1</v>
      </c>
      <c r="B4" s="2">
        <v>0.03</v>
      </c>
    </row>
    <row r="5" spans="1:5" x14ac:dyDescent="0.3">
      <c r="A5">
        <v>2</v>
      </c>
      <c r="B5" s="2">
        <v>0.04</v>
      </c>
      <c r="C5" s="12">
        <f>(B5*A5-B4*A4)/(A5-A4)</f>
        <v>0.05</v>
      </c>
    </row>
    <row r="6" spans="1:5" x14ac:dyDescent="0.3">
      <c r="A6">
        <v>3</v>
      </c>
      <c r="B6" s="5">
        <v>4.5999999999999999E-2</v>
      </c>
      <c r="C6" s="12">
        <f t="shared" ref="C6:C8" si="0">(B6*A6-B5*A5)/(A6-A5)</f>
        <v>5.800000000000001E-2</v>
      </c>
    </row>
    <row r="7" spans="1:5" x14ac:dyDescent="0.3">
      <c r="A7">
        <v>4</v>
      </c>
      <c r="B7" s="2">
        <v>0.05</v>
      </c>
      <c r="C7" s="12">
        <f t="shared" si="0"/>
        <v>6.2E-2</v>
      </c>
    </row>
    <row r="8" spans="1:5" x14ac:dyDescent="0.3">
      <c r="A8">
        <v>5</v>
      </c>
      <c r="B8" s="5">
        <v>5.2999999999999999E-2</v>
      </c>
      <c r="C8" s="12">
        <f t="shared" si="0"/>
        <v>6.5000000000000002E-2</v>
      </c>
    </row>
    <row r="10" spans="1:5" x14ac:dyDescent="0.3">
      <c r="B10" t="s">
        <v>52</v>
      </c>
      <c r="C10" s="12">
        <f>C5</f>
        <v>0.05</v>
      </c>
      <c r="D10" t="s">
        <v>53</v>
      </c>
    </row>
    <row r="11" spans="1:5" x14ac:dyDescent="0.3">
      <c r="B11" t="s">
        <v>54</v>
      </c>
      <c r="C11" s="12">
        <f>C6</f>
        <v>5.800000000000001E-2</v>
      </c>
      <c r="D11" t="s">
        <v>53</v>
      </c>
    </row>
    <row r="12" spans="1:5" x14ac:dyDescent="0.3">
      <c r="B12" t="s">
        <v>55</v>
      </c>
      <c r="C12" s="12">
        <f>C7</f>
        <v>6.2E-2</v>
      </c>
      <c r="D12" t="s">
        <v>53</v>
      </c>
    </row>
    <row r="13" spans="1:5" x14ac:dyDescent="0.3">
      <c r="B13" t="s">
        <v>56</v>
      </c>
      <c r="C13" s="12">
        <f>C8</f>
        <v>6.5000000000000002E-2</v>
      </c>
      <c r="D13" t="s">
        <v>53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99A6B-E7DF-440F-B17F-D464F26A556F}">
  <dimension ref="A1:E13"/>
  <sheetViews>
    <sheetView workbookViewId="0">
      <selection activeCell="G10" sqref="G10"/>
    </sheetView>
  </sheetViews>
  <sheetFormatPr defaultRowHeight="14.4" x14ac:dyDescent="0.3"/>
  <cols>
    <col min="1" max="1" width="8" customWidth="1"/>
    <col min="2" max="2" width="23.77734375" customWidth="1"/>
    <col min="3" max="3" width="18.21875" customWidth="1"/>
    <col min="4" max="4" width="21" customWidth="1"/>
    <col min="5" max="5" width="13.6640625" customWidth="1"/>
  </cols>
  <sheetData>
    <row r="1" spans="1:5" ht="49.2" customHeight="1" x14ac:dyDescent="0.3">
      <c r="A1" s="11" t="s">
        <v>57</v>
      </c>
      <c r="B1" s="11"/>
      <c r="C1" s="11"/>
      <c r="D1" s="11"/>
      <c r="E1" s="11"/>
    </row>
    <row r="3" spans="1:5" ht="43.2" x14ac:dyDescent="0.3">
      <c r="A3" t="s">
        <v>49</v>
      </c>
      <c r="B3" s="1" t="s">
        <v>50</v>
      </c>
      <c r="C3" s="1" t="s">
        <v>51</v>
      </c>
    </row>
    <row r="4" spans="1:5" x14ac:dyDescent="0.3">
      <c r="A4">
        <v>1</v>
      </c>
      <c r="B4" s="5">
        <v>5.2999999999999999E-2</v>
      </c>
    </row>
    <row r="5" spans="1:5" x14ac:dyDescent="0.3">
      <c r="A5">
        <v>2</v>
      </c>
      <c r="B5" s="5">
        <v>0.05</v>
      </c>
      <c r="C5" s="12">
        <f>(B5*A5-B4*A4)/(A5-A4)</f>
        <v>4.7000000000000007E-2</v>
      </c>
    </row>
    <row r="6" spans="1:5" x14ac:dyDescent="0.3">
      <c r="A6">
        <v>3</v>
      </c>
      <c r="B6" s="5">
        <v>4.5999999999999999E-2</v>
      </c>
      <c r="C6" s="12">
        <f t="shared" ref="C6:C8" si="0">(B6*A6-B5*A5)/(A6-A5)</f>
        <v>3.8000000000000006E-2</v>
      </c>
    </row>
    <row r="7" spans="1:5" x14ac:dyDescent="0.3">
      <c r="A7">
        <v>4</v>
      </c>
      <c r="B7" s="5">
        <v>0.04</v>
      </c>
      <c r="C7" s="12">
        <f t="shared" si="0"/>
        <v>2.1999999999999992E-2</v>
      </c>
    </row>
    <row r="8" spans="1:5" x14ac:dyDescent="0.3">
      <c r="A8">
        <v>5</v>
      </c>
      <c r="B8" s="5">
        <v>3.5000000000000003E-2</v>
      </c>
      <c r="C8" s="12">
        <f t="shared" si="0"/>
        <v>1.5000000000000013E-2</v>
      </c>
    </row>
    <row r="10" spans="1:5" x14ac:dyDescent="0.3">
      <c r="B10" t="s">
        <v>52</v>
      </c>
      <c r="C10" s="12">
        <f>C5</f>
        <v>4.7000000000000007E-2</v>
      </c>
      <c r="D10" t="s">
        <v>53</v>
      </c>
    </row>
    <row r="11" spans="1:5" x14ac:dyDescent="0.3">
      <c r="B11" t="s">
        <v>54</v>
      </c>
      <c r="C11" s="12">
        <f>C6</f>
        <v>3.8000000000000006E-2</v>
      </c>
      <c r="D11" t="s">
        <v>53</v>
      </c>
    </row>
    <row r="12" spans="1:5" x14ac:dyDescent="0.3">
      <c r="B12" t="s">
        <v>55</v>
      </c>
      <c r="C12" s="12">
        <f>C7</f>
        <v>2.1999999999999992E-2</v>
      </c>
      <c r="D12" t="s">
        <v>53</v>
      </c>
    </row>
    <row r="13" spans="1:5" x14ac:dyDescent="0.3">
      <c r="B13" t="s">
        <v>56</v>
      </c>
      <c r="C13" s="12">
        <f>C8</f>
        <v>1.5000000000000013E-2</v>
      </c>
      <c r="D13" t="s">
        <v>53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8284-3A94-40B2-B4D6-44FFACF06DB3}">
  <dimension ref="A1:M22"/>
  <sheetViews>
    <sheetView workbookViewId="0">
      <selection activeCell="F12" sqref="F12"/>
    </sheetView>
  </sheetViews>
  <sheetFormatPr defaultRowHeight="14.4" x14ac:dyDescent="0.3"/>
  <cols>
    <col min="2" max="2" width="13.33203125" customWidth="1"/>
    <col min="3" max="3" width="16.33203125" customWidth="1"/>
    <col min="4" max="4" width="15.21875" customWidth="1"/>
    <col min="7" max="7" width="12.6640625" customWidth="1"/>
    <col min="9" max="9" width="14.21875" customWidth="1"/>
    <col min="12" max="12" width="7.33203125" customWidth="1"/>
    <col min="13" max="13" width="8.6640625" customWidth="1"/>
  </cols>
  <sheetData>
    <row r="1" spans="1:13" ht="30" customHeight="1" x14ac:dyDescent="0.3">
      <c r="A1" s="11" t="s">
        <v>58</v>
      </c>
      <c r="B1" s="11"/>
      <c r="C1" s="11"/>
      <c r="D1" s="11"/>
      <c r="E1" s="11"/>
      <c r="F1" s="11"/>
      <c r="G1" s="11"/>
      <c r="H1" s="11"/>
      <c r="I1" s="11"/>
      <c r="J1" s="1"/>
      <c r="K1" s="1"/>
      <c r="L1" s="1"/>
      <c r="M1" s="1"/>
    </row>
    <row r="4" spans="1:13" x14ac:dyDescent="0.3">
      <c r="B4" t="s">
        <v>20</v>
      </c>
      <c r="C4">
        <v>100</v>
      </c>
    </row>
    <row r="5" spans="1:13" x14ac:dyDescent="0.3">
      <c r="B5" t="s">
        <v>59</v>
      </c>
      <c r="C5" s="2">
        <v>0.08</v>
      </c>
    </row>
    <row r="6" spans="1:13" x14ac:dyDescent="0.3">
      <c r="B6" t="s">
        <v>40</v>
      </c>
      <c r="C6" s="2">
        <v>7.0000000000000007E-2</v>
      </c>
    </row>
    <row r="7" spans="1:13" x14ac:dyDescent="0.3">
      <c r="B7" t="s">
        <v>45</v>
      </c>
      <c r="C7">
        <v>1</v>
      </c>
    </row>
    <row r="8" spans="1:13" x14ac:dyDescent="0.3">
      <c r="B8" t="s">
        <v>60</v>
      </c>
      <c r="C8">
        <v>5</v>
      </c>
      <c r="G8" t="s">
        <v>61</v>
      </c>
      <c r="H8" s="5">
        <v>6.8000000000000005E-2</v>
      </c>
    </row>
    <row r="9" spans="1:13" x14ac:dyDescent="0.3">
      <c r="G9" t="s">
        <v>62</v>
      </c>
    </row>
    <row r="10" spans="1:13" x14ac:dyDescent="0.3"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</row>
    <row r="11" spans="1:13" x14ac:dyDescent="0.3">
      <c r="B11">
        <v>1</v>
      </c>
      <c r="C11">
        <f>C$4*C$5</f>
        <v>8</v>
      </c>
      <c r="D11">
        <f>C11*EXP(-$C$6*B11)</f>
        <v>7.4591505592475862</v>
      </c>
      <c r="E11">
        <f>D11*B11</f>
        <v>7.4591505592475862</v>
      </c>
      <c r="F11">
        <f>(B11^2)*D11</f>
        <v>7.4591505592475862</v>
      </c>
      <c r="G11">
        <f>C11*EXP(-$H$8*B11)</f>
        <v>7.4740837886177083</v>
      </c>
    </row>
    <row r="12" spans="1:13" x14ac:dyDescent="0.3">
      <c r="B12">
        <v>2</v>
      </c>
      <c r="C12">
        <f t="shared" ref="C12:C14" si="0">C$4*C$5</f>
        <v>8</v>
      </c>
      <c r="D12">
        <f t="shared" ref="D12:D15" si="1">C12*EXP(-$C$6*B12)</f>
        <v>6.9548658831904469</v>
      </c>
      <c r="E12">
        <f t="shared" ref="E12:E15" si="2">D12*B12</f>
        <v>13.909731766380894</v>
      </c>
      <c r="F12">
        <f t="shared" ref="F12:F15" si="3">(B12^2)*D12</f>
        <v>27.819463532761787</v>
      </c>
      <c r="G12">
        <f t="shared" ref="G12:G15" si="4">C12*EXP(-$H$8*B12)</f>
        <v>6.9827410599097544</v>
      </c>
    </row>
    <row r="13" spans="1:13" x14ac:dyDescent="0.3">
      <c r="B13">
        <v>3</v>
      </c>
      <c r="C13">
        <f t="shared" si="0"/>
        <v>8</v>
      </c>
      <c r="D13">
        <f t="shared" si="1"/>
        <v>6.4846739677614966</v>
      </c>
      <c r="E13">
        <f t="shared" si="2"/>
        <v>19.454021903284492</v>
      </c>
      <c r="F13">
        <f t="shared" si="3"/>
        <v>58.362065709853468</v>
      </c>
      <c r="G13">
        <f t="shared" si="4"/>
        <v>6.5236989694983416</v>
      </c>
    </row>
    <row r="14" spans="1:13" x14ac:dyDescent="0.3">
      <c r="B14">
        <v>4</v>
      </c>
      <c r="C14">
        <f t="shared" si="0"/>
        <v>8</v>
      </c>
      <c r="D14">
        <f t="shared" si="1"/>
        <v>6.0462699316458037</v>
      </c>
      <c r="E14">
        <f t="shared" si="2"/>
        <v>24.185079726583215</v>
      </c>
      <c r="F14">
        <f t="shared" si="3"/>
        <v>96.74031890633286</v>
      </c>
      <c r="G14">
        <f t="shared" si="4"/>
        <v>6.0948340887187005</v>
      </c>
    </row>
    <row r="15" spans="1:13" x14ac:dyDescent="0.3">
      <c r="B15">
        <v>5</v>
      </c>
      <c r="C15">
        <f>C$4*C$5 + C$4</f>
        <v>108</v>
      </c>
      <c r="D15">
        <f t="shared" si="1"/>
        <v>76.106313689621047</v>
      </c>
      <c r="E15">
        <f t="shared" si="2"/>
        <v>380.53156844810525</v>
      </c>
      <c r="F15">
        <f t="shared" si="3"/>
        <v>1902.6578422405262</v>
      </c>
      <c r="G15">
        <f t="shared" si="4"/>
        <v>76.871194858361847</v>
      </c>
    </row>
    <row r="17" spans="3:9" x14ac:dyDescent="0.3">
      <c r="C17" t="s">
        <v>28</v>
      </c>
      <c r="D17">
        <f>SUM(D11:D15)</f>
        <v>103.05127403146638</v>
      </c>
    </row>
    <row r="18" spans="3:9" x14ac:dyDescent="0.3">
      <c r="C18" t="s">
        <v>69</v>
      </c>
      <c r="D18">
        <f>SUM(E11:E15)/D17</f>
        <v>4.3234744702676586</v>
      </c>
    </row>
    <row r="19" spans="3:9" x14ac:dyDescent="0.3">
      <c r="C19" t="s">
        <v>70</v>
      </c>
      <c r="D19">
        <f>SUM(F11:F15)/D17</f>
        <v>20.31065467768617</v>
      </c>
    </row>
    <row r="20" spans="3:9" x14ac:dyDescent="0.3">
      <c r="C20" t="s">
        <v>71</v>
      </c>
      <c r="D20" s="5">
        <v>-2E-3</v>
      </c>
    </row>
    <row r="21" spans="3:9" x14ac:dyDescent="0.3">
      <c r="C21" t="s">
        <v>72</v>
      </c>
      <c r="D21">
        <f>(-D20*D17*D18) + D17</f>
        <v>103.94235313627358</v>
      </c>
      <c r="G21">
        <f>SUM(G11:G15)</f>
        <v>103.94655276510636</v>
      </c>
      <c r="I21" t="s">
        <v>73</v>
      </c>
    </row>
    <row r="22" spans="3:9" x14ac:dyDescent="0.3">
      <c r="D22" t="s">
        <v>74</v>
      </c>
      <c r="G22" t="s">
        <v>75</v>
      </c>
      <c r="I22">
        <f>(-D18*D20+0.5*D19*D20^2)*D17 + D17</f>
        <v>103.94653921395548</v>
      </c>
    </row>
  </sheetData>
  <mergeCells count="1">
    <mergeCell ref="A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8738-A34B-474E-AE9C-295E70739435}">
  <dimension ref="A1:O27"/>
  <sheetViews>
    <sheetView workbookViewId="0">
      <selection activeCell="S8" sqref="S8"/>
    </sheetView>
  </sheetViews>
  <sheetFormatPr defaultRowHeight="14.4" x14ac:dyDescent="0.3"/>
  <cols>
    <col min="3" max="3" width="17.21875" customWidth="1"/>
    <col min="4" max="4" width="10.44140625" customWidth="1"/>
    <col min="5" max="5" width="13.77734375" customWidth="1"/>
    <col min="6" max="6" width="10.77734375" customWidth="1"/>
  </cols>
  <sheetData>
    <row r="1" spans="1:15" ht="28.8" customHeight="1" x14ac:dyDescent="0.3">
      <c r="A1" s="4" t="s">
        <v>76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3" spans="1:15" x14ac:dyDescent="0.3">
      <c r="C3" t="s">
        <v>77</v>
      </c>
      <c r="D3">
        <v>120</v>
      </c>
    </row>
    <row r="4" spans="1:15" x14ac:dyDescent="0.3">
      <c r="C4" t="s">
        <v>78</v>
      </c>
      <c r="D4">
        <v>150</v>
      </c>
    </row>
    <row r="5" spans="1:15" x14ac:dyDescent="0.3">
      <c r="C5" t="s">
        <v>79</v>
      </c>
      <c r="D5">
        <v>20</v>
      </c>
    </row>
    <row r="7" spans="1:15" x14ac:dyDescent="0.3">
      <c r="C7" t="s">
        <v>80</v>
      </c>
      <c r="D7" t="s">
        <v>81</v>
      </c>
      <c r="E7" t="s">
        <v>82</v>
      </c>
      <c r="F7" t="s">
        <v>83</v>
      </c>
    </row>
    <row r="8" spans="1:15" x14ac:dyDescent="0.3">
      <c r="C8">
        <v>60</v>
      </c>
      <c r="D8">
        <f>C8-$D$3</f>
        <v>-60</v>
      </c>
      <c r="E8">
        <f>MIN($D$5,$D$4-C8)</f>
        <v>20</v>
      </c>
      <c r="F8">
        <f>E8+D8</f>
        <v>-40</v>
      </c>
    </row>
    <row r="9" spans="1:15" x14ac:dyDescent="0.3">
      <c r="C9">
        <v>70</v>
      </c>
      <c r="D9">
        <f t="shared" ref="D9:D27" si="0">C9-$D$3</f>
        <v>-50</v>
      </c>
      <c r="E9">
        <f t="shared" ref="E9:E27" si="1">MIN($D$5,$D$4-C9)</f>
        <v>20</v>
      </c>
      <c r="F9">
        <f t="shared" ref="F9:F27" si="2">E9+D9</f>
        <v>-30</v>
      </c>
    </row>
    <row r="10" spans="1:15" x14ac:dyDescent="0.3">
      <c r="C10">
        <v>80</v>
      </c>
      <c r="D10">
        <f t="shared" si="0"/>
        <v>-40</v>
      </c>
      <c r="E10">
        <f t="shared" si="1"/>
        <v>20</v>
      </c>
      <c r="F10">
        <f t="shared" si="2"/>
        <v>-20</v>
      </c>
    </row>
    <row r="11" spans="1:15" x14ac:dyDescent="0.3">
      <c r="C11">
        <v>90</v>
      </c>
      <c r="D11">
        <f t="shared" si="0"/>
        <v>-30</v>
      </c>
      <c r="E11">
        <f t="shared" si="1"/>
        <v>20</v>
      </c>
      <c r="F11">
        <f t="shared" si="2"/>
        <v>-10</v>
      </c>
    </row>
    <row r="12" spans="1:15" x14ac:dyDescent="0.3">
      <c r="C12">
        <v>100</v>
      </c>
      <c r="D12">
        <f t="shared" si="0"/>
        <v>-20</v>
      </c>
      <c r="E12">
        <f t="shared" si="1"/>
        <v>20</v>
      </c>
      <c r="F12">
        <f t="shared" si="2"/>
        <v>0</v>
      </c>
    </row>
    <row r="13" spans="1:15" x14ac:dyDescent="0.3">
      <c r="C13">
        <v>110</v>
      </c>
      <c r="D13">
        <f t="shared" si="0"/>
        <v>-10</v>
      </c>
      <c r="E13">
        <f t="shared" si="1"/>
        <v>20</v>
      </c>
      <c r="F13">
        <f t="shared" si="2"/>
        <v>10</v>
      </c>
    </row>
    <row r="14" spans="1:15" x14ac:dyDescent="0.3">
      <c r="C14">
        <v>120</v>
      </c>
      <c r="D14">
        <f t="shared" si="0"/>
        <v>0</v>
      </c>
      <c r="E14">
        <f t="shared" si="1"/>
        <v>20</v>
      </c>
      <c r="F14">
        <f t="shared" si="2"/>
        <v>20</v>
      </c>
    </row>
    <row r="15" spans="1:15" x14ac:dyDescent="0.3">
      <c r="C15">
        <v>130</v>
      </c>
      <c r="D15">
        <f t="shared" si="0"/>
        <v>10</v>
      </c>
      <c r="E15">
        <f t="shared" si="1"/>
        <v>20</v>
      </c>
      <c r="F15">
        <f t="shared" si="2"/>
        <v>30</v>
      </c>
    </row>
    <row r="16" spans="1:15" x14ac:dyDescent="0.3">
      <c r="C16">
        <v>140</v>
      </c>
      <c r="D16">
        <f t="shared" si="0"/>
        <v>20</v>
      </c>
      <c r="E16">
        <f t="shared" si="1"/>
        <v>10</v>
      </c>
      <c r="F16">
        <f t="shared" si="2"/>
        <v>30</v>
      </c>
    </row>
    <row r="17" spans="3:6" x14ac:dyDescent="0.3">
      <c r="C17">
        <v>150</v>
      </c>
      <c r="D17">
        <f t="shared" si="0"/>
        <v>30</v>
      </c>
      <c r="E17">
        <f t="shared" si="1"/>
        <v>0</v>
      </c>
      <c r="F17">
        <f t="shared" si="2"/>
        <v>30</v>
      </c>
    </row>
    <row r="18" spans="3:6" x14ac:dyDescent="0.3">
      <c r="C18">
        <v>160</v>
      </c>
      <c r="D18">
        <f t="shared" si="0"/>
        <v>40</v>
      </c>
      <c r="E18">
        <f t="shared" si="1"/>
        <v>-10</v>
      </c>
      <c r="F18">
        <f t="shared" si="2"/>
        <v>30</v>
      </c>
    </row>
    <row r="19" spans="3:6" x14ac:dyDescent="0.3">
      <c r="C19">
        <v>170</v>
      </c>
      <c r="D19">
        <f t="shared" si="0"/>
        <v>50</v>
      </c>
      <c r="E19">
        <f t="shared" si="1"/>
        <v>-20</v>
      </c>
      <c r="F19">
        <f t="shared" si="2"/>
        <v>30</v>
      </c>
    </row>
    <row r="20" spans="3:6" x14ac:dyDescent="0.3">
      <c r="C20">
        <v>180</v>
      </c>
      <c r="D20">
        <f t="shared" si="0"/>
        <v>60</v>
      </c>
      <c r="E20">
        <f t="shared" si="1"/>
        <v>-30</v>
      </c>
      <c r="F20">
        <f t="shared" si="2"/>
        <v>30</v>
      </c>
    </row>
    <row r="21" spans="3:6" x14ac:dyDescent="0.3">
      <c r="C21">
        <v>190</v>
      </c>
      <c r="D21">
        <f t="shared" si="0"/>
        <v>70</v>
      </c>
      <c r="E21">
        <f t="shared" si="1"/>
        <v>-40</v>
      </c>
      <c r="F21">
        <f t="shared" si="2"/>
        <v>30</v>
      </c>
    </row>
    <row r="22" spans="3:6" x14ac:dyDescent="0.3">
      <c r="C22">
        <v>200</v>
      </c>
      <c r="D22">
        <f t="shared" si="0"/>
        <v>80</v>
      </c>
      <c r="E22">
        <f t="shared" si="1"/>
        <v>-50</v>
      </c>
      <c r="F22">
        <f t="shared" si="2"/>
        <v>30</v>
      </c>
    </row>
    <row r="23" spans="3:6" x14ac:dyDescent="0.3">
      <c r="C23">
        <v>210</v>
      </c>
      <c r="D23">
        <f t="shared" si="0"/>
        <v>90</v>
      </c>
      <c r="E23">
        <f t="shared" si="1"/>
        <v>-60</v>
      </c>
      <c r="F23">
        <f t="shared" si="2"/>
        <v>30</v>
      </c>
    </row>
    <row r="24" spans="3:6" x14ac:dyDescent="0.3">
      <c r="C24">
        <v>220</v>
      </c>
      <c r="D24">
        <f t="shared" si="0"/>
        <v>100</v>
      </c>
      <c r="E24">
        <f t="shared" si="1"/>
        <v>-70</v>
      </c>
      <c r="F24">
        <f t="shared" si="2"/>
        <v>30</v>
      </c>
    </row>
    <row r="25" spans="3:6" x14ac:dyDescent="0.3">
      <c r="C25">
        <v>230</v>
      </c>
      <c r="D25">
        <f t="shared" si="0"/>
        <v>110</v>
      </c>
      <c r="E25">
        <f t="shared" si="1"/>
        <v>-80</v>
      </c>
      <c r="F25">
        <f t="shared" si="2"/>
        <v>30</v>
      </c>
    </row>
    <row r="26" spans="3:6" x14ac:dyDescent="0.3">
      <c r="C26">
        <v>240</v>
      </c>
      <c r="D26">
        <f t="shared" si="0"/>
        <v>120</v>
      </c>
      <c r="E26">
        <f t="shared" si="1"/>
        <v>-90</v>
      </c>
      <c r="F26">
        <f t="shared" si="2"/>
        <v>30</v>
      </c>
    </row>
    <row r="27" spans="3:6" x14ac:dyDescent="0.3">
      <c r="C27">
        <v>250</v>
      </c>
      <c r="D27">
        <f t="shared" si="0"/>
        <v>130</v>
      </c>
      <c r="E27">
        <f t="shared" si="1"/>
        <v>-100</v>
      </c>
      <c r="F27">
        <f t="shared" si="2"/>
        <v>30</v>
      </c>
    </row>
  </sheetData>
  <mergeCells count="1">
    <mergeCell ref="A1:O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03D0-E261-4AC0-A92A-F24DD89AC2BF}">
  <dimension ref="A1:Q31"/>
  <sheetViews>
    <sheetView topLeftCell="B1" workbookViewId="0">
      <selection activeCell="F7" sqref="F7"/>
    </sheetView>
  </sheetViews>
  <sheetFormatPr defaultColWidth="26" defaultRowHeight="14.4" x14ac:dyDescent="0.3"/>
  <cols>
    <col min="1" max="16384" width="26" style="16"/>
  </cols>
  <sheetData>
    <row r="1" spans="1:17" ht="30" customHeight="1" x14ac:dyDescent="0.3">
      <c r="A1" s="4" t="s">
        <v>108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4" spans="1:17" x14ac:dyDescent="0.3">
      <c r="B4" s="16" t="s">
        <v>109</v>
      </c>
      <c r="C4" s="16">
        <v>170</v>
      </c>
    </row>
    <row r="5" spans="1:17" x14ac:dyDescent="0.3">
      <c r="B5" s="16" t="s">
        <v>110</v>
      </c>
      <c r="C5" s="16">
        <v>150</v>
      </c>
    </row>
    <row r="6" spans="1:17" x14ac:dyDescent="0.3">
      <c r="B6" s="16" t="s">
        <v>111</v>
      </c>
      <c r="C6" s="16">
        <v>45</v>
      </c>
    </row>
    <row r="8" spans="1:17" x14ac:dyDescent="0.3">
      <c r="B8" s="16" t="s">
        <v>112</v>
      </c>
      <c r="C8" s="16" t="s">
        <v>113</v>
      </c>
      <c r="D8" s="16" t="s">
        <v>114</v>
      </c>
      <c r="E8" s="16" t="s">
        <v>83</v>
      </c>
    </row>
    <row r="9" spans="1:17" x14ac:dyDescent="0.3">
      <c r="B9" s="16">
        <v>30</v>
      </c>
      <c r="C9" s="16">
        <f>B9-$C$4</f>
        <v>-140</v>
      </c>
      <c r="D9" s="16">
        <f>MAX($C$6,$C$5-B9-$C$6)</f>
        <v>75</v>
      </c>
      <c r="E9" s="16">
        <f>D9+C9</f>
        <v>-65</v>
      </c>
    </row>
    <row r="10" spans="1:17" x14ac:dyDescent="0.3">
      <c r="B10" s="16">
        <v>40</v>
      </c>
      <c r="C10" s="16">
        <f t="shared" ref="C10:C31" si="0">B10-$C$4</f>
        <v>-130</v>
      </c>
      <c r="D10" s="16">
        <f t="shared" ref="D10:D31" si="1">MAX($C$6,$C$5-B10-$C$6)</f>
        <v>65</v>
      </c>
      <c r="E10" s="16">
        <f t="shared" ref="E10:E31" si="2">D10+C10</f>
        <v>-65</v>
      </c>
    </row>
    <row r="11" spans="1:17" x14ac:dyDescent="0.3">
      <c r="B11" s="16">
        <v>50</v>
      </c>
      <c r="C11" s="16">
        <f t="shared" si="0"/>
        <v>-120</v>
      </c>
      <c r="D11" s="16">
        <f t="shared" si="1"/>
        <v>55</v>
      </c>
      <c r="E11" s="16">
        <f t="shared" si="2"/>
        <v>-65</v>
      </c>
    </row>
    <row r="12" spans="1:17" x14ac:dyDescent="0.3">
      <c r="B12" s="16">
        <v>60</v>
      </c>
      <c r="C12" s="16">
        <f t="shared" si="0"/>
        <v>-110</v>
      </c>
      <c r="D12" s="16">
        <f t="shared" si="1"/>
        <v>45</v>
      </c>
      <c r="E12" s="16">
        <f t="shared" si="2"/>
        <v>-65</v>
      </c>
    </row>
    <row r="13" spans="1:17" x14ac:dyDescent="0.3">
      <c r="B13" s="16">
        <v>70</v>
      </c>
      <c r="C13" s="16">
        <f t="shared" si="0"/>
        <v>-100</v>
      </c>
      <c r="D13" s="16">
        <f t="shared" si="1"/>
        <v>45</v>
      </c>
      <c r="E13" s="16">
        <f t="shared" si="2"/>
        <v>-55</v>
      </c>
    </row>
    <row r="14" spans="1:17" x14ac:dyDescent="0.3">
      <c r="B14" s="16">
        <v>80</v>
      </c>
      <c r="C14" s="16">
        <f t="shared" si="0"/>
        <v>-90</v>
      </c>
      <c r="D14" s="16">
        <f t="shared" si="1"/>
        <v>45</v>
      </c>
      <c r="E14" s="16">
        <f t="shared" si="2"/>
        <v>-45</v>
      </c>
    </row>
    <row r="15" spans="1:17" x14ac:dyDescent="0.3">
      <c r="B15" s="16">
        <v>90</v>
      </c>
      <c r="C15" s="16">
        <f t="shared" si="0"/>
        <v>-80</v>
      </c>
      <c r="D15" s="16">
        <f t="shared" si="1"/>
        <v>45</v>
      </c>
      <c r="E15" s="16">
        <f t="shared" si="2"/>
        <v>-35</v>
      </c>
    </row>
    <row r="16" spans="1:17" x14ac:dyDescent="0.3">
      <c r="B16" s="16">
        <v>100</v>
      </c>
      <c r="C16" s="16">
        <f t="shared" si="0"/>
        <v>-70</v>
      </c>
      <c r="D16" s="16">
        <f t="shared" si="1"/>
        <v>45</v>
      </c>
      <c r="E16" s="16">
        <f t="shared" si="2"/>
        <v>-25</v>
      </c>
    </row>
    <row r="17" spans="2:5" x14ac:dyDescent="0.3">
      <c r="B17" s="16">
        <v>110</v>
      </c>
      <c r="C17" s="16">
        <f t="shared" si="0"/>
        <v>-60</v>
      </c>
      <c r="D17" s="16">
        <f t="shared" si="1"/>
        <v>45</v>
      </c>
      <c r="E17" s="16">
        <f t="shared" si="2"/>
        <v>-15</v>
      </c>
    </row>
    <row r="18" spans="2:5" x14ac:dyDescent="0.3">
      <c r="B18" s="16">
        <v>120</v>
      </c>
      <c r="C18" s="16">
        <f t="shared" si="0"/>
        <v>-50</v>
      </c>
      <c r="D18" s="16">
        <f t="shared" si="1"/>
        <v>45</v>
      </c>
      <c r="E18" s="16">
        <f t="shared" si="2"/>
        <v>-5</v>
      </c>
    </row>
    <row r="19" spans="2:5" x14ac:dyDescent="0.3">
      <c r="B19" s="16">
        <v>130</v>
      </c>
      <c r="C19" s="16">
        <f t="shared" si="0"/>
        <v>-40</v>
      </c>
      <c r="D19" s="16">
        <f t="shared" si="1"/>
        <v>45</v>
      </c>
      <c r="E19" s="16">
        <f t="shared" si="2"/>
        <v>5</v>
      </c>
    </row>
    <row r="20" spans="2:5" x14ac:dyDescent="0.3">
      <c r="B20" s="16">
        <v>140</v>
      </c>
      <c r="C20" s="16">
        <f t="shared" si="0"/>
        <v>-30</v>
      </c>
      <c r="D20" s="16">
        <f t="shared" si="1"/>
        <v>45</v>
      </c>
      <c r="E20" s="16">
        <f t="shared" si="2"/>
        <v>15</v>
      </c>
    </row>
    <row r="21" spans="2:5" x14ac:dyDescent="0.3">
      <c r="B21" s="16">
        <v>150</v>
      </c>
      <c r="C21" s="16">
        <f t="shared" si="0"/>
        <v>-20</v>
      </c>
      <c r="D21" s="16">
        <f t="shared" si="1"/>
        <v>45</v>
      </c>
      <c r="E21" s="16">
        <f t="shared" si="2"/>
        <v>25</v>
      </c>
    </row>
    <row r="22" spans="2:5" x14ac:dyDescent="0.3">
      <c r="B22" s="16">
        <v>160</v>
      </c>
      <c r="C22" s="16">
        <f t="shared" si="0"/>
        <v>-10</v>
      </c>
      <c r="D22" s="16">
        <f t="shared" si="1"/>
        <v>45</v>
      </c>
      <c r="E22" s="16">
        <f t="shared" si="2"/>
        <v>35</v>
      </c>
    </row>
    <row r="23" spans="2:5" x14ac:dyDescent="0.3">
      <c r="B23" s="16">
        <v>170</v>
      </c>
      <c r="C23" s="16">
        <f t="shared" si="0"/>
        <v>0</v>
      </c>
      <c r="D23" s="16">
        <f t="shared" si="1"/>
        <v>45</v>
      </c>
      <c r="E23" s="16">
        <f t="shared" si="2"/>
        <v>45</v>
      </c>
    </row>
    <row r="24" spans="2:5" x14ac:dyDescent="0.3">
      <c r="B24" s="16">
        <v>180</v>
      </c>
      <c r="C24" s="16">
        <f t="shared" si="0"/>
        <v>10</v>
      </c>
      <c r="D24" s="16">
        <f t="shared" si="1"/>
        <v>45</v>
      </c>
      <c r="E24" s="16">
        <f t="shared" si="2"/>
        <v>55</v>
      </c>
    </row>
    <row r="25" spans="2:5" x14ac:dyDescent="0.3">
      <c r="B25" s="16">
        <v>190</v>
      </c>
      <c r="C25" s="16">
        <f t="shared" si="0"/>
        <v>20</v>
      </c>
      <c r="D25" s="16">
        <f t="shared" si="1"/>
        <v>45</v>
      </c>
      <c r="E25" s="16">
        <f t="shared" si="2"/>
        <v>65</v>
      </c>
    </row>
    <row r="26" spans="2:5" x14ac:dyDescent="0.3">
      <c r="B26" s="16">
        <v>200</v>
      </c>
      <c r="C26" s="16">
        <f t="shared" si="0"/>
        <v>30</v>
      </c>
      <c r="D26" s="16">
        <f t="shared" si="1"/>
        <v>45</v>
      </c>
      <c r="E26" s="16">
        <f t="shared" si="2"/>
        <v>75</v>
      </c>
    </row>
    <row r="27" spans="2:5" x14ac:dyDescent="0.3">
      <c r="B27" s="16">
        <v>210</v>
      </c>
      <c r="C27" s="16">
        <f t="shared" si="0"/>
        <v>40</v>
      </c>
      <c r="D27" s="16">
        <f t="shared" si="1"/>
        <v>45</v>
      </c>
      <c r="E27" s="16">
        <f t="shared" si="2"/>
        <v>85</v>
      </c>
    </row>
    <row r="28" spans="2:5" x14ac:dyDescent="0.3">
      <c r="B28" s="16">
        <v>220</v>
      </c>
      <c r="C28" s="16">
        <f t="shared" si="0"/>
        <v>50</v>
      </c>
      <c r="D28" s="16">
        <f t="shared" si="1"/>
        <v>45</v>
      </c>
      <c r="E28" s="16">
        <f t="shared" si="2"/>
        <v>95</v>
      </c>
    </row>
    <row r="29" spans="2:5" x14ac:dyDescent="0.3">
      <c r="B29" s="16">
        <v>230</v>
      </c>
      <c r="C29" s="16">
        <f t="shared" si="0"/>
        <v>60</v>
      </c>
      <c r="D29" s="16">
        <f t="shared" si="1"/>
        <v>45</v>
      </c>
      <c r="E29" s="16">
        <f t="shared" si="2"/>
        <v>105</v>
      </c>
    </row>
    <row r="30" spans="2:5" x14ac:dyDescent="0.3">
      <c r="B30" s="16">
        <v>240</v>
      </c>
      <c r="C30" s="16">
        <f t="shared" si="0"/>
        <v>70</v>
      </c>
      <c r="D30" s="16">
        <f t="shared" si="1"/>
        <v>45</v>
      </c>
      <c r="E30" s="16">
        <f t="shared" si="2"/>
        <v>115</v>
      </c>
    </row>
    <row r="31" spans="2:5" x14ac:dyDescent="0.3">
      <c r="B31" s="16">
        <v>250</v>
      </c>
      <c r="C31" s="16">
        <f t="shared" si="0"/>
        <v>80</v>
      </c>
      <c r="D31" s="16">
        <f t="shared" si="1"/>
        <v>45</v>
      </c>
      <c r="E31" s="16">
        <f t="shared" si="2"/>
        <v>125</v>
      </c>
    </row>
  </sheetData>
  <mergeCells count="1">
    <mergeCell ref="A1:Q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AAAE-E2FF-4FC5-84A1-E242C966D9E3}">
  <dimension ref="A1:T18"/>
  <sheetViews>
    <sheetView workbookViewId="0">
      <selection activeCell="E11" sqref="E11"/>
    </sheetView>
  </sheetViews>
  <sheetFormatPr defaultRowHeight="14.4" x14ac:dyDescent="0.3"/>
  <cols>
    <col min="1" max="1" width="8.88671875" style="16"/>
    <col min="2" max="2" width="14.77734375" style="16" customWidth="1"/>
    <col min="3" max="3" width="13.5546875" style="16" customWidth="1"/>
    <col min="4" max="4" width="14" style="16" customWidth="1"/>
    <col min="5" max="5" width="11" style="16" customWidth="1"/>
    <col min="6" max="16384" width="8.88671875" style="16"/>
  </cols>
  <sheetData>
    <row r="1" spans="1:20" x14ac:dyDescent="0.3">
      <c r="A1" s="3" t="s">
        <v>115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3" spans="1:20" x14ac:dyDescent="0.3">
      <c r="B3" s="16" t="s">
        <v>116</v>
      </c>
      <c r="C3" s="16">
        <v>3</v>
      </c>
      <c r="D3" s="16" t="s">
        <v>117</v>
      </c>
      <c r="E3" s="16">
        <v>30</v>
      </c>
    </row>
    <row r="4" spans="1:20" x14ac:dyDescent="0.3">
      <c r="B4" s="16" t="s">
        <v>118</v>
      </c>
      <c r="C4" s="16">
        <v>1</v>
      </c>
      <c r="D4" s="16" t="s">
        <v>119</v>
      </c>
      <c r="E4" s="16">
        <v>35</v>
      </c>
    </row>
    <row r="8" spans="1:20" x14ac:dyDescent="0.3">
      <c r="B8" s="16" t="s">
        <v>112</v>
      </c>
      <c r="C8" s="16" t="s">
        <v>120</v>
      </c>
      <c r="D8" s="16" t="s">
        <v>121</v>
      </c>
      <c r="E8" s="16" t="s">
        <v>83</v>
      </c>
    </row>
    <row r="9" spans="1:20" x14ac:dyDescent="0.3">
      <c r="B9" s="16">
        <v>20</v>
      </c>
      <c r="C9" s="16">
        <f>MAX(-$C$3,-$E$3-$C$3+B9)</f>
        <v>-3</v>
      </c>
      <c r="D9" s="16">
        <f>MIN($C$4,$E$4+$C$4-B9)</f>
        <v>1</v>
      </c>
      <c r="E9" s="16">
        <f>C9+D9</f>
        <v>-2</v>
      </c>
    </row>
    <row r="10" spans="1:20" x14ac:dyDescent="0.3">
      <c r="B10" s="16">
        <v>30</v>
      </c>
      <c r="C10" s="16">
        <f t="shared" ref="C10:C18" si="0">MAX(-$C$3,-$E$3-$C$3+B10)</f>
        <v>-3</v>
      </c>
      <c r="D10" s="16">
        <f t="shared" ref="D10:D18" si="1">MIN($C$4,$E$4+$C$4-B10)</f>
        <v>1</v>
      </c>
      <c r="E10" s="16">
        <f t="shared" ref="E10:E18" si="2">C10+D10</f>
        <v>-2</v>
      </c>
    </row>
    <row r="11" spans="1:20" x14ac:dyDescent="0.3">
      <c r="B11" s="16">
        <v>31</v>
      </c>
      <c r="C11" s="16">
        <f t="shared" si="0"/>
        <v>-2</v>
      </c>
      <c r="D11" s="16">
        <f t="shared" si="1"/>
        <v>1</v>
      </c>
      <c r="E11" s="16">
        <f t="shared" si="2"/>
        <v>-1</v>
      </c>
    </row>
    <row r="12" spans="1:20" x14ac:dyDescent="0.3">
      <c r="B12" s="16">
        <v>32</v>
      </c>
      <c r="C12" s="16">
        <f t="shared" si="0"/>
        <v>-1</v>
      </c>
      <c r="D12" s="16">
        <f t="shared" si="1"/>
        <v>1</v>
      </c>
      <c r="E12" s="16">
        <f t="shared" si="2"/>
        <v>0</v>
      </c>
    </row>
    <row r="13" spans="1:20" x14ac:dyDescent="0.3">
      <c r="B13" s="16">
        <v>33</v>
      </c>
      <c r="C13" s="16">
        <f t="shared" si="0"/>
        <v>0</v>
      </c>
      <c r="D13" s="16">
        <f t="shared" si="1"/>
        <v>1</v>
      </c>
      <c r="E13" s="16">
        <f t="shared" si="2"/>
        <v>1</v>
      </c>
    </row>
    <row r="14" spans="1:20" x14ac:dyDescent="0.3">
      <c r="B14" s="16">
        <v>34</v>
      </c>
      <c r="C14" s="16">
        <f t="shared" si="0"/>
        <v>1</v>
      </c>
      <c r="D14" s="16">
        <f t="shared" si="1"/>
        <v>1</v>
      </c>
      <c r="E14" s="16">
        <f t="shared" si="2"/>
        <v>2</v>
      </c>
    </row>
    <row r="15" spans="1:20" x14ac:dyDescent="0.3">
      <c r="B15" s="16">
        <v>35</v>
      </c>
      <c r="C15" s="16">
        <f t="shared" si="0"/>
        <v>2</v>
      </c>
      <c r="D15" s="16">
        <f t="shared" si="1"/>
        <v>1</v>
      </c>
      <c r="E15" s="16">
        <f t="shared" si="2"/>
        <v>3</v>
      </c>
    </row>
    <row r="16" spans="1:20" x14ac:dyDescent="0.3">
      <c r="B16" s="16">
        <v>40</v>
      </c>
      <c r="C16" s="16">
        <f t="shared" si="0"/>
        <v>7</v>
      </c>
      <c r="D16" s="16">
        <f t="shared" si="1"/>
        <v>-4</v>
      </c>
      <c r="E16" s="16">
        <f t="shared" si="2"/>
        <v>3</v>
      </c>
    </row>
    <row r="17" spans="2:5" x14ac:dyDescent="0.3">
      <c r="B17" s="16">
        <v>45</v>
      </c>
      <c r="C17" s="16">
        <f t="shared" si="0"/>
        <v>12</v>
      </c>
      <c r="D17" s="16">
        <f t="shared" si="1"/>
        <v>-9</v>
      </c>
      <c r="E17" s="16">
        <f t="shared" si="2"/>
        <v>3</v>
      </c>
    </row>
    <row r="18" spans="2:5" x14ac:dyDescent="0.3">
      <c r="B18" s="16">
        <v>50</v>
      </c>
      <c r="C18" s="16">
        <f t="shared" si="0"/>
        <v>17</v>
      </c>
      <c r="D18" s="16">
        <f t="shared" si="1"/>
        <v>-14</v>
      </c>
      <c r="E18" s="16">
        <f t="shared" si="2"/>
        <v>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92C34-D157-46FC-97D4-37DF616653AD}">
  <dimension ref="A1:V19"/>
  <sheetViews>
    <sheetView workbookViewId="0">
      <selection activeCell="G8" sqref="G8"/>
    </sheetView>
  </sheetViews>
  <sheetFormatPr defaultRowHeight="14.4" x14ac:dyDescent="0.3"/>
  <cols>
    <col min="1" max="16384" width="8.88671875" style="16"/>
  </cols>
  <sheetData>
    <row r="1" spans="1:22" x14ac:dyDescent="0.3">
      <c r="A1" s="3" t="s">
        <v>122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3" spans="1:22" x14ac:dyDescent="0.3">
      <c r="B3" s="16" t="s">
        <v>123</v>
      </c>
      <c r="C3" s="16">
        <v>3</v>
      </c>
      <c r="D3" s="16" t="s">
        <v>117</v>
      </c>
      <c r="E3" s="16">
        <v>35</v>
      </c>
    </row>
    <row r="4" spans="1:22" x14ac:dyDescent="0.3">
      <c r="B4" s="16" t="s">
        <v>124</v>
      </c>
      <c r="C4" s="16">
        <v>1</v>
      </c>
      <c r="D4" s="16" t="s">
        <v>119</v>
      </c>
      <c r="E4" s="16">
        <v>30</v>
      </c>
    </row>
    <row r="8" spans="1:22" x14ac:dyDescent="0.3">
      <c r="B8" s="16" t="s">
        <v>112</v>
      </c>
      <c r="C8" s="16" t="s">
        <v>120</v>
      </c>
      <c r="D8" s="16" t="s">
        <v>121</v>
      </c>
      <c r="E8" s="16" t="s">
        <v>83</v>
      </c>
    </row>
    <row r="9" spans="1:22" x14ac:dyDescent="0.3">
      <c r="B9" s="16">
        <v>10</v>
      </c>
      <c r="C9" s="16">
        <f>MIN(-$C$3,$E$3-$C$3-B9)</f>
        <v>-3</v>
      </c>
      <c r="D9" s="16">
        <f>MAX($C$4,-$E$4+$C$4+B9)</f>
        <v>1</v>
      </c>
      <c r="E9" s="16">
        <f>C9+D9</f>
        <v>-2</v>
      </c>
    </row>
    <row r="10" spans="1:22" x14ac:dyDescent="0.3">
      <c r="B10" s="16">
        <v>15</v>
      </c>
      <c r="C10" s="16">
        <f t="shared" ref="C10:C19" si="0">MIN(-$C$3,$E$3-$C$3-B10)</f>
        <v>-3</v>
      </c>
      <c r="D10" s="16">
        <f t="shared" ref="D10:D19" si="1">MAX($C$4,-$E$4+$C$4+B10)</f>
        <v>1</v>
      </c>
      <c r="E10" s="16">
        <f t="shared" ref="E10:E19" si="2">C10+D10</f>
        <v>-2</v>
      </c>
    </row>
    <row r="11" spans="1:22" x14ac:dyDescent="0.3">
      <c r="B11" s="16">
        <v>20</v>
      </c>
      <c r="C11" s="16">
        <f t="shared" si="0"/>
        <v>-3</v>
      </c>
      <c r="D11" s="16">
        <f t="shared" si="1"/>
        <v>1</v>
      </c>
      <c r="E11" s="16">
        <f t="shared" si="2"/>
        <v>-2</v>
      </c>
    </row>
    <row r="12" spans="1:22" x14ac:dyDescent="0.3">
      <c r="B12" s="16">
        <v>25</v>
      </c>
      <c r="C12" s="16">
        <f t="shared" si="0"/>
        <v>-3</v>
      </c>
      <c r="D12" s="16">
        <f t="shared" si="1"/>
        <v>1</v>
      </c>
      <c r="E12" s="16">
        <f t="shared" si="2"/>
        <v>-2</v>
      </c>
    </row>
    <row r="13" spans="1:22" x14ac:dyDescent="0.3">
      <c r="B13" s="16">
        <v>30</v>
      </c>
      <c r="C13" s="16">
        <f t="shared" si="0"/>
        <v>-3</v>
      </c>
      <c r="D13" s="16">
        <f t="shared" si="1"/>
        <v>1</v>
      </c>
      <c r="E13" s="16">
        <f t="shared" si="2"/>
        <v>-2</v>
      </c>
    </row>
    <row r="14" spans="1:22" x14ac:dyDescent="0.3">
      <c r="B14" s="16">
        <v>35</v>
      </c>
      <c r="C14" s="16">
        <f t="shared" si="0"/>
        <v>-3</v>
      </c>
      <c r="D14" s="16">
        <f t="shared" si="1"/>
        <v>6</v>
      </c>
      <c r="E14" s="16">
        <f t="shared" si="2"/>
        <v>3</v>
      </c>
    </row>
    <row r="15" spans="1:22" x14ac:dyDescent="0.3">
      <c r="B15" s="16">
        <v>40</v>
      </c>
      <c r="C15" s="16">
        <f t="shared" si="0"/>
        <v>-8</v>
      </c>
      <c r="D15" s="16">
        <f t="shared" si="1"/>
        <v>11</v>
      </c>
      <c r="E15" s="16">
        <f t="shared" si="2"/>
        <v>3</v>
      </c>
    </row>
    <row r="16" spans="1:22" x14ac:dyDescent="0.3">
      <c r="B16" s="16">
        <v>45</v>
      </c>
      <c r="C16" s="16">
        <f t="shared" si="0"/>
        <v>-13</v>
      </c>
      <c r="D16" s="16">
        <f t="shared" si="1"/>
        <v>16</v>
      </c>
      <c r="E16" s="16">
        <f t="shared" si="2"/>
        <v>3</v>
      </c>
    </row>
    <row r="17" spans="2:5" x14ac:dyDescent="0.3">
      <c r="B17" s="16">
        <v>50</v>
      </c>
      <c r="C17" s="16">
        <f t="shared" si="0"/>
        <v>-18</v>
      </c>
      <c r="D17" s="16">
        <f t="shared" si="1"/>
        <v>21</v>
      </c>
      <c r="E17" s="16">
        <f t="shared" si="2"/>
        <v>3</v>
      </c>
    </row>
    <row r="18" spans="2:5" x14ac:dyDescent="0.3">
      <c r="B18" s="16">
        <v>55</v>
      </c>
      <c r="C18" s="16">
        <f t="shared" si="0"/>
        <v>-23</v>
      </c>
      <c r="D18" s="16">
        <f t="shared" si="1"/>
        <v>26</v>
      </c>
      <c r="E18" s="16">
        <f t="shared" si="2"/>
        <v>3</v>
      </c>
    </row>
    <row r="19" spans="2:5" x14ac:dyDescent="0.3">
      <c r="B19" s="16">
        <v>60</v>
      </c>
      <c r="C19" s="16">
        <f t="shared" si="0"/>
        <v>-28</v>
      </c>
      <c r="D19" s="16">
        <f t="shared" si="1"/>
        <v>31</v>
      </c>
      <c r="E19" s="16">
        <f t="shared" si="2"/>
        <v>3</v>
      </c>
    </row>
  </sheetData>
  <mergeCells count="1">
    <mergeCell ref="A1:V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1817-63A5-4FF7-9079-550AFB8EBC5C}">
  <dimension ref="A1:I19"/>
  <sheetViews>
    <sheetView workbookViewId="0">
      <selection activeCell="L12" sqref="L12"/>
    </sheetView>
  </sheetViews>
  <sheetFormatPr defaultRowHeight="14.4" x14ac:dyDescent="0.3"/>
  <cols>
    <col min="1" max="1" width="21.33203125" customWidth="1"/>
    <col min="2" max="2" width="19.109375" customWidth="1"/>
    <col min="4" max="4" width="22.21875" customWidth="1"/>
    <col min="5" max="5" width="22" customWidth="1"/>
    <col min="6" max="6" width="16.77734375" customWidth="1"/>
  </cols>
  <sheetData>
    <row r="1" spans="1:9" ht="18" x14ac:dyDescent="0.35">
      <c r="A1" s="13" t="s">
        <v>84</v>
      </c>
      <c r="B1" s="13"/>
      <c r="C1" s="13"/>
      <c r="D1" s="13"/>
      <c r="E1" s="13"/>
      <c r="F1" s="13"/>
      <c r="G1" s="13"/>
      <c r="H1" s="13"/>
    </row>
    <row r="3" spans="1:9" x14ac:dyDescent="0.3">
      <c r="A3" s="14" t="s">
        <v>85</v>
      </c>
      <c r="D3" s="14" t="s">
        <v>86</v>
      </c>
      <c r="G3" s="14" t="s">
        <v>87</v>
      </c>
    </row>
    <row r="4" spans="1:9" x14ac:dyDescent="0.3">
      <c r="A4" t="s">
        <v>80</v>
      </c>
      <c r="B4">
        <v>100</v>
      </c>
      <c r="G4">
        <v>0</v>
      </c>
      <c r="H4">
        <v>1</v>
      </c>
      <c r="I4">
        <v>2</v>
      </c>
    </row>
    <row r="5" spans="1:9" x14ac:dyDescent="0.3">
      <c r="A5" t="s">
        <v>78</v>
      </c>
      <c r="B5">
        <v>100</v>
      </c>
      <c r="D5" t="s">
        <v>88</v>
      </c>
      <c r="E5" t="s">
        <v>89</v>
      </c>
    </row>
    <row r="6" spans="1:9" x14ac:dyDescent="0.3">
      <c r="A6" t="s">
        <v>90</v>
      </c>
      <c r="B6">
        <v>2</v>
      </c>
      <c r="I6">
        <f>H7*B12</f>
        <v>149.18246976412703</v>
      </c>
    </row>
    <row r="7" spans="1:9" x14ac:dyDescent="0.3">
      <c r="A7" t="s">
        <v>91</v>
      </c>
      <c r="B7" s="2">
        <v>0.05</v>
      </c>
      <c r="D7" t="s">
        <v>92</v>
      </c>
      <c r="E7" t="s">
        <v>93</v>
      </c>
      <c r="H7">
        <f>G8*B12</f>
        <v>122.14027581601698</v>
      </c>
    </row>
    <row r="8" spans="1:9" x14ac:dyDescent="0.3">
      <c r="A8" t="s">
        <v>94</v>
      </c>
      <c r="B8" s="2">
        <v>0.2</v>
      </c>
      <c r="G8">
        <v>100</v>
      </c>
    </row>
    <row r="9" spans="1:9" x14ac:dyDescent="0.3">
      <c r="A9" t="s">
        <v>95</v>
      </c>
      <c r="B9">
        <v>2</v>
      </c>
      <c r="D9" t="s">
        <v>96</v>
      </c>
      <c r="E9" t="s">
        <v>97</v>
      </c>
      <c r="H9">
        <f>G8*B13</f>
        <v>81.873075307798189</v>
      </c>
    </row>
    <row r="10" spans="1:9" x14ac:dyDescent="0.3">
      <c r="A10" t="s">
        <v>98</v>
      </c>
      <c r="B10" t="s">
        <v>99</v>
      </c>
      <c r="I10">
        <f>H9*B13</f>
        <v>67.032004603563934</v>
      </c>
    </row>
    <row r="11" spans="1:9" x14ac:dyDescent="0.3">
      <c r="E11" t="s">
        <v>100</v>
      </c>
    </row>
    <row r="12" spans="1:9" x14ac:dyDescent="0.3">
      <c r="A12" t="s">
        <v>101</v>
      </c>
      <c r="B12">
        <f>EXP(B8*SQRT(B14))</f>
        <v>1.2214027581601699</v>
      </c>
      <c r="G12" s="14" t="s">
        <v>102</v>
      </c>
    </row>
    <row r="13" spans="1:9" x14ac:dyDescent="0.3">
      <c r="A13" t="s">
        <v>103</v>
      </c>
      <c r="B13">
        <f>EXP(-B8*SQRT(B14))</f>
        <v>0.81873075307798182</v>
      </c>
      <c r="D13" t="s">
        <v>102</v>
      </c>
      <c r="E13" t="s">
        <v>104</v>
      </c>
      <c r="G13">
        <v>0</v>
      </c>
      <c r="H13">
        <v>1</v>
      </c>
      <c r="I13">
        <v>2</v>
      </c>
    </row>
    <row r="14" spans="1:9" x14ac:dyDescent="0.3">
      <c r="A14" t="s">
        <v>105</v>
      </c>
      <c r="B14">
        <v>1</v>
      </c>
    </row>
    <row r="15" spans="1:9" x14ac:dyDescent="0.3">
      <c r="I15">
        <f>MAX(I6-B5,0)</f>
        <v>49.182469764127035</v>
      </c>
    </row>
    <row r="16" spans="1:9" x14ac:dyDescent="0.3">
      <c r="H16">
        <f>EXP(-B7)*(B17*I15+B18*I17)</f>
        <v>27.017333365945593</v>
      </c>
    </row>
    <row r="17" spans="1:9" x14ac:dyDescent="0.3">
      <c r="A17" t="s">
        <v>106</v>
      </c>
      <c r="B17">
        <f>(1/(B12-B13))*(EXP(B7*B14)-B13)</f>
        <v>0.57749319635612428</v>
      </c>
      <c r="G17">
        <f>EXP(-B7)*(B17*H16+B18*H18)</f>
        <v>14.841391774494451</v>
      </c>
      <c r="I17">
        <v>0</v>
      </c>
    </row>
    <row r="18" spans="1:9" x14ac:dyDescent="0.3">
      <c r="A18" t="s">
        <v>107</v>
      </c>
      <c r="B18">
        <f>1-B17</f>
        <v>0.42250680364387572</v>
      </c>
      <c r="H18">
        <v>0</v>
      </c>
    </row>
    <row r="19" spans="1:9" x14ac:dyDescent="0.3">
      <c r="I19">
        <v>0</v>
      </c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03B32-F493-4215-92E7-C7B5ADC639D0}">
  <dimension ref="A1:N262"/>
  <sheetViews>
    <sheetView workbookViewId="0">
      <selection sqref="A1:XFD1048576"/>
    </sheetView>
  </sheetViews>
  <sheetFormatPr defaultRowHeight="14.4" x14ac:dyDescent="0.3"/>
  <cols>
    <col min="1" max="1" width="15.109375" style="16" customWidth="1"/>
    <col min="2" max="2" width="21.44140625" style="16" customWidth="1"/>
    <col min="3" max="3" width="18" style="16" customWidth="1"/>
    <col min="4" max="4" width="13" style="16" customWidth="1"/>
    <col min="5" max="16384" width="8.88671875" style="16"/>
  </cols>
  <sheetData>
    <row r="1" spans="1:14" ht="21" x14ac:dyDescent="0.4">
      <c r="A1" s="15" t="s">
        <v>125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4" ht="30" customHeight="1" x14ac:dyDescent="0.3">
      <c r="A2" s="4" t="s">
        <v>126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x14ac:dyDescent="0.3">
      <c r="A4" s="16" t="s">
        <v>127</v>
      </c>
      <c r="B4" s="16">
        <v>35</v>
      </c>
    </row>
    <row r="5" spans="1:14" ht="29.4" customHeight="1" x14ac:dyDescent="0.3">
      <c r="A5" s="1" t="s">
        <v>128</v>
      </c>
      <c r="B5" s="2">
        <v>0.15</v>
      </c>
    </row>
    <row r="6" spans="1:14" x14ac:dyDescent="0.3">
      <c r="A6" s="16" t="s">
        <v>129</v>
      </c>
      <c r="B6" s="2">
        <v>0.2</v>
      </c>
    </row>
    <row r="7" spans="1:14" x14ac:dyDescent="0.3">
      <c r="A7" s="16" t="s">
        <v>130</v>
      </c>
      <c r="B7" s="16">
        <v>4.0000000000000001E-3</v>
      </c>
    </row>
    <row r="9" spans="1:14" x14ac:dyDescent="0.3">
      <c r="A9" s="3" t="s">
        <v>131</v>
      </c>
      <c r="B9" s="3"/>
      <c r="C9" s="3"/>
      <c r="D9" s="3"/>
      <c r="E9" s="3"/>
      <c r="F9" s="3"/>
    </row>
    <row r="11" spans="1:14" ht="29.4" customHeight="1" x14ac:dyDescent="0.3">
      <c r="A11" s="16" t="s">
        <v>132</v>
      </c>
      <c r="B11" s="17" t="s">
        <v>133</v>
      </c>
      <c r="C11" s="17" t="s">
        <v>134</v>
      </c>
      <c r="D11" s="17" t="s">
        <v>135</v>
      </c>
    </row>
    <row r="12" spans="1:14" x14ac:dyDescent="0.3">
      <c r="A12" s="16">
        <v>0</v>
      </c>
      <c r="D12" s="16">
        <v>35</v>
      </c>
    </row>
    <row r="13" spans="1:14" x14ac:dyDescent="0.3">
      <c r="A13" s="16">
        <v>1</v>
      </c>
      <c r="B13" s="16">
        <f ca="1">RAND()</f>
        <v>0.72758647948275723</v>
      </c>
      <c r="C13" s="16">
        <f ca="1">_xlfn.NORM.S.INV(B13)</f>
        <v>0.60552978399596014</v>
      </c>
      <c r="D13" s="16">
        <f ca="1">D12*EXP(($B$5-0.5*$B$6^2)*$B$7+$B$6*SQRT($B$7)*C13)</f>
        <v>35.287453460892323</v>
      </c>
    </row>
    <row r="14" spans="1:14" x14ac:dyDescent="0.3">
      <c r="A14" s="16">
        <v>2</v>
      </c>
      <c r="B14" s="16">
        <f t="shared" ref="B14:B77" ca="1" si="0">RAND()</f>
        <v>0.22187953436683938</v>
      </c>
      <c r="C14" s="16">
        <f t="shared" ref="C14:C77" ca="1" si="1">_xlfn.NORM.S.INV(B14)</f>
        <v>-0.76586090737741119</v>
      </c>
      <c r="D14" s="16">
        <f t="shared" ref="D14:D77" ca="1" si="2">D13*EXP(($B$5-0.5*$B$6^2)*$B$7+$B$6*SQRT($B$7)*C14)</f>
        <v>34.965435464331748</v>
      </c>
    </row>
    <row r="15" spans="1:14" x14ac:dyDescent="0.3">
      <c r="A15" s="16">
        <v>3</v>
      </c>
      <c r="B15" s="16">
        <f t="shared" ca="1" si="0"/>
        <v>2.7267409255265718E-2</v>
      </c>
      <c r="C15" s="16">
        <f t="shared" ca="1" si="1"/>
        <v>-1.9225640817545955</v>
      </c>
      <c r="D15" s="16">
        <f t="shared" ca="1" si="2"/>
        <v>34.143126418749681</v>
      </c>
    </row>
    <row r="16" spans="1:14" x14ac:dyDescent="0.3">
      <c r="A16" s="16">
        <v>4</v>
      </c>
      <c r="B16" s="16">
        <f t="shared" ca="1" si="0"/>
        <v>0.17314495178467404</v>
      </c>
      <c r="C16" s="16">
        <f t="shared" ca="1" si="1"/>
        <v>-0.94181004080050024</v>
      </c>
      <c r="D16" s="16">
        <f t="shared" ca="1" si="2"/>
        <v>33.756339279291886</v>
      </c>
    </row>
    <row r="17" spans="1:4" x14ac:dyDescent="0.3">
      <c r="A17" s="16">
        <v>5</v>
      </c>
      <c r="B17" s="16">
        <f t="shared" ca="1" si="0"/>
        <v>0.35210093718816293</v>
      </c>
      <c r="C17" s="16">
        <f t="shared" ca="1" si="1"/>
        <v>-0.3796545335900377</v>
      </c>
      <c r="D17" s="16">
        <f t="shared" ca="1" si="2"/>
        <v>33.612093841862063</v>
      </c>
    </row>
    <row r="18" spans="1:4" x14ac:dyDescent="0.3">
      <c r="A18" s="16">
        <v>6</v>
      </c>
      <c r="B18" s="16">
        <f t="shared" ca="1" si="0"/>
        <v>0.16473806509824318</v>
      </c>
      <c r="C18" s="16">
        <f t="shared" ca="1" si="1"/>
        <v>-0.97516961767994492</v>
      </c>
      <c r="D18" s="16">
        <f t="shared" ca="1" si="2"/>
        <v>33.217302825050851</v>
      </c>
    </row>
    <row r="19" spans="1:4" x14ac:dyDescent="0.3">
      <c r="A19" s="16">
        <v>7</v>
      </c>
      <c r="B19" s="16">
        <f t="shared" ca="1" si="0"/>
        <v>0.40258978440480797</v>
      </c>
      <c r="C19" s="16">
        <f t="shared" ca="1" si="1"/>
        <v>-0.24664940115638562</v>
      </c>
      <c r="D19" s="16">
        <f t="shared" ca="1" si="2"/>
        <v>33.131053474999824</v>
      </c>
    </row>
    <row r="20" spans="1:4" x14ac:dyDescent="0.3">
      <c r="A20" s="16">
        <v>8</v>
      </c>
      <c r="B20" s="16">
        <f t="shared" ca="1" si="0"/>
        <v>0.95898209475771157</v>
      </c>
      <c r="C20" s="16">
        <f t="shared" ca="1" si="1"/>
        <v>1.7389940445217682</v>
      </c>
      <c r="D20" s="16">
        <f t="shared" ca="1" si="2"/>
        <v>33.885518563402059</v>
      </c>
    </row>
    <row r="21" spans="1:4" x14ac:dyDescent="0.3">
      <c r="A21" s="16">
        <v>9</v>
      </c>
      <c r="B21" s="16">
        <f t="shared" ca="1" si="0"/>
        <v>8.5533868705522376E-2</v>
      </c>
      <c r="C21" s="16">
        <f t="shared" ca="1" si="1"/>
        <v>-1.3687810139282162</v>
      </c>
      <c r="D21" s="16">
        <f t="shared" ca="1" si="2"/>
        <v>33.321201617880213</v>
      </c>
    </row>
    <row r="22" spans="1:4" x14ac:dyDescent="0.3">
      <c r="A22" s="16">
        <v>10</v>
      </c>
      <c r="B22" s="16">
        <f t="shared" ca="1" si="0"/>
        <v>0.86091776417007504</v>
      </c>
      <c r="C22" s="16">
        <f t="shared" ca="1" si="1"/>
        <v>1.0844519250066982</v>
      </c>
      <c r="D22" s="16">
        <f t="shared" ca="1" si="2"/>
        <v>33.799000532043344</v>
      </c>
    </row>
    <row r="23" spans="1:4" x14ac:dyDescent="0.3">
      <c r="A23" s="16">
        <v>11</v>
      </c>
      <c r="B23" s="16">
        <f t="shared" ca="1" si="0"/>
        <v>0.85561812898365774</v>
      </c>
      <c r="C23" s="16">
        <f t="shared" ca="1" si="1"/>
        <v>1.0608375325096435</v>
      </c>
      <c r="D23" s="16">
        <f t="shared" ca="1" si="2"/>
        <v>34.273411660160846</v>
      </c>
    </row>
    <row r="24" spans="1:4" x14ac:dyDescent="0.3">
      <c r="A24" s="16">
        <v>12</v>
      </c>
      <c r="B24" s="16">
        <f t="shared" ca="1" si="0"/>
        <v>0.12126329536540059</v>
      </c>
      <c r="C24" s="16">
        <f t="shared" ca="1" si="1"/>
        <v>-1.1686948671069279</v>
      </c>
      <c r="D24" s="16">
        <f t="shared" ca="1" si="2"/>
        <v>33.788041314974699</v>
      </c>
    </row>
    <row r="25" spans="1:4" x14ac:dyDescent="0.3">
      <c r="A25" s="16">
        <v>13</v>
      </c>
      <c r="B25" s="16">
        <f t="shared" ca="1" si="0"/>
        <v>0.78696092051904432</v>
      </c>
      <c r="C25" s="16">
        <f t="shared" ca="1" si="1"/>
        <v>0.79592064816255181</v>
      </c>
      <c r="D25" s="16">
        <f t="shared" ca="1" si="2"/>
        <v>34.147679072692938</v>
      </c>
    </row>
    <row r="26" spans="1:4" x14ac:dyDescent="0.3">
      <c r="A26" s="16">
        <v>14</v>
      </c>
      <c r="B26" s="16">
        <f t="shared" ca="1" si="0"/>
        <v>0.90151764408408452</v>
      </c>
      <c r="C26" s="16">
        <f t="shared" ca="1" si="1"/>
        <v>1.2902475774227888</v>
      </c>
      <c r="D26" s="16">
        <f t="shared" ca="1" si="2"/>
        <v>34.72761199797359</v>
      </c>
    </row>
    <row r="27" spans="1:4" x14ac:dyDescent="0.3">
      <c r="A27" s="16">
        <v>15</v>
      </c>
      <c r="B27" s="16">
        <f t="shared" ca="1" si="0"/>
        <v>0.92783158786257802</v>
      </c>
      <c r="C27" s="16">
        <f t="shared" ca="1" si="1"/>
        <v>1.4598299166199245</v>
      </c>
      <c r="D27" s="16">
        <f t="shared" ca="1" si="2"/>
        <v>35.393233417390505</v>
      </c>
    </row>
    <row r="28" spans="1:4" x14ac:dyDescent="0.3">
      <c r="A28" s="16">
        <v>16</v>
      </c>
      <c r="B28" s="16">
        <f t="shared" ca="1" si="0"/>
        <v>0.55551449790186713</v>
      </c>
      <c r="C28" s="16">
        <f t="shared" ca="1" si="1"/>
        <v>0.13960637403354575</v>
      </c>
      <c r="D28" s="16">
        <f t="shared" ca="1" si="2"/>
        <v>35.47423122579923</v>
      </c>
    </row>
    <row r="29" spans="1:4" x14ac:dyDescent="0.3">
      <c r="A29" s="16">
        <v>17</v>
      </c>
      <c r="B29" s="16">
        <f t="shared" ca="1" si="0"/>
        <v>0.26204340254327541</v>
      </c>
      <c r="C29" s="16">
        <f t="shared" ca="1" si="1"/>
        <v>-0.63705839869585679</v>
      </c>
      <c r="D29" s="16">
        <f t="shared" ca="1" si="2"/>
        <v>35.207823969606743</v>
      </c>
    </row>
    <row r="30" spans="1:4" x14ac:dyDescent="0.3">
      <c r="A30" s="16">
        <v>18</v>
      </c>
      <c r="B30" s="16">
        <f t="shared" ca="1" si="0"/>
        <v>0.22620459009711424</v>
      </c>
      <c r="C30" s="16">
        <f t="shared" ca="1" si="1"/>
        <v>-0.75140462491922999</v>
      </c>
      <c r="D30" s="16">
        <f t="shared" ca="1" si="2"/>
        <v>34.892912541070984</v>
      </c>
    </row>
    <row r="31" spans="1:4" x14ac:dyDescent="0.3">
      <c r="A31" s="16">
        <v>19</v>
      </c>
      <c r="B31" s="16">
        <f t="shared" ca="1" si="0"/>
        <v>0.25315921442416611</v>
      </c>
      <c r="C31" s="16">
        <f t="shared" ca="1" si="1"/>
        <v>-0.66458115039777221</v>
      </c>
      <c r="D31" s="16">
        <f t="shared" ca="1" si="2"/>
        <v>34.618816683817506</v>
      </c>
    </row>
    <row r="32" spans="1:4" x14ac:dyDescent="0.3">
      <c r="A32" s="16">
        <v>20</v>
      </c>
      <c r="B32" s="16">
        <f t="shared" ca="1" si="0"/>
        <v>6.7134275632706353E-2</v>
      </c>
      <c r="C32" s="16">
        <f t="shared" ca="1" si="1"/>
        <v>-1.4974794406117329</v>
      </c>
      <c r="D32" s="16">
        <f t="shared" ca="1" si="2"/>
        <v>33.986914602523917</v>
      </c>
    </row>
    <row r="33" spans="1:4" x14ac:dyDescent="0.3">
      <c r="A33" s="16">
        <v>21</v>
      </c>
      <c r="B33" s="16">
        <f t="shared" ca="1" si="0"/>
        <v>0.53426325949139819</v>
      </c>
      <c r="C33" s="16">
        <f t="shared" ca="1" si="1"/>
        <v>8.5991114056057819E-2</v>
      </c>
      <c r="D33" s="16">
        <f t="shared" ca="1" si="2"/>
        <v>34.041599690055151</v>
      </c>
    </row>
    <row r="34" spans="1:4" x14ac:dyDescent="0.3">
      <c r="A34" s="16">
        <v>22</v>
      </c>
      <c r="B34" s="16">
        <f t="shared" ca="1" si="0"/>
        <v>0.36890977131971159</v>
      </c>
      <c r="C34" s="16">
        <f t="shared" ca="1" si="1"/>
        <v>-0.33474222972722339</v>
      </c>
      <c r="D34" s="16">
        <f t="shared" ca="1" si="2"/>
        <v>33.915397185060705</v>
      </c>
    </row>
    <row r="35" spans="1:4" x14ac:dyDescent="0.3">
      <c r="A35" s="16">
        <v>23</v>
      </c>
      <c r="B35" s="16">
        <f t="shared" ca="1" si="0"/>
        <v>0.38766314424392478</v>
      </c>
      <c r="C35" s="16">
        <f t="shared" ca="1" si="1"/>
        <v>-0.28541490658230967</v>
      </c>
      <c r="D35" s="16">
        <f t="shared" ca="1" si="2"/>
        <v>33.810752080349175</v>
      </c>
    </row>
    <row r="36" spans="1:4" x14ac:dyDescent="0.3">
      <c r="A36" s="16">
        <v>24</v>
      </c>
      <c r="B36" s="16">
        <f t="shared" ca="1" si="0"/>
        <v>0.92619343657608055</v>
      </c>
      <c r="C36" s="16">
        <f t="shared" ca="1" si="1"/>
        <v>1.4480140300276305</v>
      </c>
      <c r="D36" s="16">
        <f t="shared" ca="1" si="2"/>
        <v>34.453650274381715</v>
      </c>
    </row>
    <row r="37" spans="1:4" x14ac:dyDescent="0.3">
      <c r="A37" s="16">
        <v>25</v>
      </c>
      <c r="B37" s="16">
        <f t="shared" ca="1" si="0"/>
        <v>3.3407443322364339E-2</v>
      </c>
      <c r="C37" s="16">
        <f t="shared" ca="1" si="1"/>
        <v>-1.8329171921019707</v>
      </c>
      <c r="D37" s="16">
        <f t="shared" ca="1" si="2"/>
        <v>33.681548936109955</v>
      </c>
    </row>
    <row r="38" spans="1:4" x14ac:dyDescent="0.3">
      <c r="A38" s="16">
        <v>26</v>
      </c>
      <c r="B38" s="16">
        <f t="shared" ca="1" si="0"/>
        <v>0.29846112670208247</v>
      </c>
      <c r="C38" s="16">
        <f t="shared" ca="1" si="1"/>
        <v>-0.52883163057245297</v>
      </c>
      <c r="D38" s="16">
        <f t="shared" ca="1" si="2"/>
        <v>33.47439868471934</v>
      </c>
    </row>
    <row r="39" spans="1:4" x14ac:dyDescent="0.3">
      <c r="A39" s="16">
        <v>27</v>
      </c>
      <c r="B39" s="16">
        <f t="shared" ca="1" si="0"/>
        <v>0.3489324701500478</v>
      </c>
      <c r="C39" s="16">
        <f t="shared" ca="1" si="1"/>
        <v>-0.38820417970586185</v>
      </c>
      <c r="D39" s="16">
        <f t="shared" ca="1" si="2"/>
        <v>33.327753579072457</v>
      </c>
    </row>
    <row r="40" spans="1:4" x14ac:dyDescent="0.3">
      <c r="A40" s="16">
        <v>28</v>
      </c>
      <c r="B40" s="16">
        <f t="shared" ca="1" si="0"/>
        <v>0.89710116098165249</v>
      </c>
      <c r="C40" s="16">
        <f t="shared" ca="1" si="1"/>
        <v>1.2652054814356994</v>
      </c>
      <c r="D40" s="16">
        <f t="shared" ca="1" si="2"/>
        <v>33.883027144317978</v>
      </c>
    </row>
    <row r="41" spans="1:4" x14ac:dyDescent="0.3">
      <c r="A41" s="16">
        <v>29</v>
      </c>
      <c r="B41" s="16">
        <f t="shared" ca="1" si="0"/>
        <v>0.73561882495353426</v>
      </c>
      <c r="C41" s="16">
        <f t="shared" ca="1" si="1"/>
        <v>0.62989642797331913</v>
      </c>
      <c r="D41" s="16">
        <f t="shared" ca="1" si="2"/>
        <v>34.17183765326439</v>
      </c>
    </row>
    <row r="42" spans="1:4" x14ac:dyDescent="0.3">
      <c r="A42" s="16">
        <v>30</v>
      </c>
      <c r="B42" s="16">
        <f t="shared" ca="1" si="0"/>
        <v>0.92384930824676648</v>
      </c>
      <c r="C42" s="16">
        <f t="shared" ca="1" si="1"/>
        <v>1.4314496636872269</v>
      </c>
      <c r="D42" s="16">
        <f t="shared" ca="1" si="2"/>
        <v>34.814306533394927</v>
      </c>
    </row>
    <row r="43" spans="1:4" x14ac:dyDescent="0.3">
      <c r="A43" s="16">
        <v>31</v>
      </c>
      <c r="B43" s="16">
        <f t="shared" ca="1" si="0"/>
        <v>0.59100446809599705</v>
      </c>
      <c r="C43" s="16">
        <f t="shared" ca="1" si="1"/>
        <v>0.23012960102938457</v>
      </c>
      <c r="D43" s="16">
        <f t="shared" ca="1" si="2"/>
        <v>34.933957288298004</v>
      </c>
    </row>
    <row r="44" spans="1:4" x14ac:dyDescent="0.3">
      <c r="A44" s="16">
        <v>32</v>
      </c>
      <c r="B44" s="16">
        <f t="shared" ca="1" si="0"/>
        <v>0.91785104385702365</v>
      </c>
      <c r="C44" s="16">
        <f t="shared" ca="1" si="1"/>
        <v>1.3907610026070187</v>
      </c>
      <c r="D44" s="16">
        <f t="shared" ca="1" si="2"/>
        <v>35.572441900356935</v>
      </c>
    </row>
    <row r="45" spans="1:4" x14ac:dyDescent="0.3">
      <c r="A45" s="16">
        <v>33</v>
      </c>
      <c r="B45" s="16">
        <f t="shared" ca="1" si="0"/>
        <v>0.47208957626708581</v>
      </c>
      <c r="C45" s="16">
        <f t="shared" ca="1" si="1"/>
        <v>-7.0018226571562342E-2</v>
      </c>
      <c r="D45" s="16">
        <f t="shared" ca="1" si="2"/>
        <v>35.559436564150985</v>
      </c>
    </row>
    <row r="46" spans="1:4" x14ac:dyDescent="0.3">
      <c r="A46" s="16">
        <v>34</v>
      </c>
      <c r="B46" s="16">
        <f t="shared" ca="1" si="0"/>
        <v>0.56948531712697847</v>
      </c>
      <c r="C46" s="16">
        <f t="shared" ca="1" si="1"/>
        <v>0.17506397388365486</v>
      </c>
      <c r="D46" s="16">
        <f t="shared" ca="1" si="2"/>
        <v>35.65680347415767</v>
      </c>
    </row>
    <row r="47" spans="1:4" x14ac:dyDescent="0.3">
      <c r="A47" s="16">
        <v>35</v>
      </c>
      <c r="B47" s="16">
        <f t="shared" ca="1" si="0"/>
        <v>0.46422282167056017</v>
      </c>
      <c r="C47" s="16">
        <f t="shared" ca="1" si="1"/>
        <v>-8.9800635292646688E-2</v>
      </c>
      <c r="D47" s="16">
        <f t="shared" ca="1" si="2"/>
        <v>35.634849275568648</v>
      </c>
    </row>
    <row r="48" spans="1:4" x14ac:dyDescent="0.3">
      <c r="A48" s="16">
        <v>36</v>
      </c>
      <c r="B48" s="16">
        <f t="shared" ca="1" si="0"/>
        <v>0.25291260619585876</v>
      </c>
      <c r="C48" s="16">
        <f t="shared" ca="1" si="1"/>
        <v>-0.66535225949427956</v>
      </c>
      <c r="D48" s="16">
        <f t="shared" ca="1" si="2"/>
        <v>35.35458040473133</v>
      </c>
    </row>
    <row r="49" spans="1:4" x14ac:dyDescent="0.3">
      <c r="A49" s="16">
        <v>37</v>
      </c>
      <c r="B49" s="16">
        <f t="shared" ca="1" si="0"/>
        <v>0.50656967077659887</v>
      </c>
      <c r="C49" s="16">
        <f t="shared" ca="1" si="1"/>
        <v>1.6468466896611574E-2</v>
      </c>
      <c r="D49" s="16">
        <f t="shared" ca="1" si="2"/>
        <v>35.380338929774432</v>
      </c>
    </row>
    <row r="50" spans="1:4" x14ac:dyDescent="0.3">
      <c r="A50" s="16">
        <v>38</v>
      </c>
      <c r="B50" s="16">
        <f t="shared" ca="1" si="0"/>
        <v>0.73419298076715755</v>
      </c>
      <c r="C50" s="16">
        <f t="shared" ca="1" si="1"/>
        <v>0.62554406280352715</v>
      </c>
      <c r="D50" s="16">
        <f t="shared" ca="1" si="2"/>
        <v>35.679947790730047</v>
      </c>
    </row>
    <row r="51" spans="1:4" x14ac:dyDescent="0.3">
      <c r="A51" s="16">
        <v>39</v>
      </c>
      <c r="B51" s="16">
        <f t="shared" ca="1" si="0"/>
        <v>0.70068978344550314</v>
      </c>
      <c r="C51" s="16">
        <f t="shared" ca="1" si="1"/>
        <v>0.52638543539132698</v>
      </c>
      <c r="D51" s="16">
        <f t="shared" ca="1" si="2"/>
        <v>35.936990895040424</v>
      </c>
    </row>
    <row r="52" spans="1:4" x14ac:dyDescent="0.3">
      <c r="A52" s="16">
        <v>40</v>
      </c>
      <c r="B52" s="16">
        <f t="shared" ca="1" si="0"/>
        <v>0.72801352690939181</v>
      </c>
      <c r="C52" s="16">
        <f t="shared" ca="1" si="1"/>
        <v>0.60681612428268261</v>
      </c>
      <c r="D52" s="16">
        <f t="shared" ca="1" si="2"/>
        <v>36.232729361089206</v>
      </c>
    </row>
    <row r="53" spans="1:4" x14ac:dyDescent="0.3">
      <c r="A53" s="16">
        <v>41</v>
      </c>
      <c r="B53" s="16">
        <f t="shared" ca="1" si="0"/>
        <v>0.56364289673944279</v>
      </c>
      <c r="C53" s="16">
        <f t="shared" ca="1" si="1"/>
        <v>0.16021183540167863</v>
      </c>
      <c r="D53" s="16">
        <f t="shared" ca="1" si="2"/>
        <v>36.325114937151078</v>
      </c>
    </row>
    <row r="54" spans="1:4" x14ac:dyDescent="0.3">
      <c r="A54" s="16">
        <v>42</v>
      </c>
      <c r="B54" s="16">
        <f t="shared" ca="1" si="0"/>
        <v>0.47473171394683189</v>
      </c>
      <c r="C54" s="16">
        <f t="shared" ca="1" si="1"/>
        <v>-6.3380609106223812E-2</v>
      </c>
      <c r="D54" s="16">
        <f t="shared" ca="1" si="2"/>
        <v>36.314883290666415</v>
      </c>
    </row>
    <row r="55" spans="1:4" x14ac:dyDescent="0.3">
      <c r="A55" s="16">
        <v>43</v>
      </c>
      <c r="B55" s="16">
        <f t="shared" ca="1" si="0"/>
        <v>0.6126735687812721</v>
      </c>
      <c r="C55" s="16">
        <f t="shared" ca="1" si="1"/>
        <v>0.28629411851415154</v>
      </c>
      <c r="D55" s="16">
        <f t="shared" ca="1" si="2"/>
        <v>36.465588359954758</v>
      </c>
    </row>
    <row r="56" spans="1:4" x14ac:dyDescent="0.3">
      <c r="A56" s="16">
        <v>44</v>
      </c>
      <c r="B56" s="16">
        <f t="shared" ca="1" si="0"/>
        <v>0.75176217526378342</v>
      </c>
      <c r="C56" s="16">
        <f t="shared" ca="1" si="1"/>
        <v>0.68004550304154199</v>
      </c>
      <c r="D56" s="16">
        <f t="shared" ca="1" si="2"/>
        <v>36.799748173400481</v>
      </c>
    </row>
    <row r="57" spans="1:4" x14ac:dyDescent="0.3">
      <c r="A57" s="16">
        <v>45</v>
      </c>
      <c r="B57" s="16">
        <f t="shared" ca="1" si="0"/>
        <v>0.94702543547880469</v>
      </c>
      <c r="C57" s="16">
        <f t="shared" ca="1" si="1"/>
        <v>1.6166718702274907</v>
      </c>
      <c r="D57" s="16">
        <f t="shared" ca="1" si="2"/>
        <v>37.579566682858605</v>
      </c>
    </row>
    <row r="58" spans="1:4" x14ac:dyDescent="0.3">
      <c r="A58" s="16">
        <v>46</v>
      </c>
      <c r="B58" s="16">
        <f t="shared" ca="1" si="0"/>
        <v>0.64781282802457707</v>
      </c>
      <c r="C58" s="16">
        <f t="shared" ca="1" si="1"/>
        <v>0.37942223190629726</v>
      </c>
      <c r="D58" s="16">
        <f t="shared" ca="1" si="2"/>
        <v>37.779998304096502</v>
      </c>
    </row>
    <row r="59" spans="1:4" x14ac:dyDescent="0.3">
      <c r="A59" s="16">
        <v>47</v>
      </c>
      <c r="B59" s="16">
        <f t="shared" ca="1" si="0"/>
        <v>0.59821386626724027</v>
      </c>
      <c r="C59" s="16">
        <f t="shared" ca="1" si="1"/>
        <v>0.24872660520839876</v>
      </c>
      <c r="D59" s="16">
        <f t="shared" ca="1" si="2"/>
        <v>37.918760421004045</v>
      </c>
    </row>
    <row r="60" spans="1:4" x14ac:dyDescent="0.3">
      <c r="A60" s="16">
        <v>48</v>
      </c>
      <c r="B60" s="16">
        <f t="shared" ca="1" si="0"/>
        <v>4.9812224738383204E-2</v>
      </c>
      <c r="C60" s="16">
        <f t="shared" ca="1" si="1"/>
        <v>-1.6466770227767034</v>
      </c>
      <c r="D60" s="16">
        <f t="shared" ca="1" si="2"/>
        <v>37.156435551024536</v>
      </c>
    </row>
    <row r="61" spans="1:4" x14ac:dyDescent="0.3">
      <c r="A61" s="16">
        <v>49</v>
      </c>
      <c r="B61" s="16">
        <f t="shared" ca="1" si="0"/>
        <v>0.60052307877117617</v>
      </c>
      <c r="C61" s="16">
        <f t="shared" ca="1" si="1"/>
        <v>0.25470126069713039</v>
      </c>
      <c r="D61" s="16">
        <f t="shared" ca="1" si="2"/>
        <v>37.29572586854195</v>
      </c>
    </row>
    <row r="62" spans="1:4" x14ac:dyDescent="0.3">
      <c r="A62" s="16">
        <v>50</v>
      </c>
      <c r="B62" s="16">
        <f t="shared" ca="1" si="0"/>
        <v>0.55906419297465137</v>
      </c>
      <c r="C62" s="16">
        <f t="shared" ca="1" si="1"/>
        <v>0.14859703336715072</v>
      </c>
      <c r="D62" s="16">
        <f t="shared" ca="1" si="2"/>
        <v>37.385328913681612</v>
      </c>
    </row>
    <row r="63" spans="1:4" x14ac:dyDescent="0.3">
      <c r="A63" s="16">
        <v>51</v>
      </c>
      <c r="B63" s="16">
        <f t="shared" ca="1" si="0"/>
        <v>0.95635192308002637</v>
      </c>
      <c r="C63" s="16">
        <f t="shared" ca="1" si="1"/>
        <v>1.7098362706195804</v>
      </c>
      <c r="D63" s="16">
        <f t="shared" ca="1" si="2"/>
        <v>38.22257312495384</v>
      </c>
    </row>
    <row r="64" spans="1:4" x14ac:dyDescent="0.3">
      <c r="A64" s="16">
        <v>52</v>
      </c>
      <c r="B64" s="16">
        <f t="shared" ca="1" si="0"/>
        <v>2.6972574793852511E-2</v>
      </c>
      <c r="C64" s="16">
        <f t="shared" ca="1" si="1"/>
        <v>-1.9272767492969951</v>
      </c>
      <c r="D64" s="16">
        <f t="shared" ca="1" si="2"/>
        <v>37.321438630637147</v>
      </c>
    </row>
    <row r="65" spans="1:4" x14ac:dyDescent="0.3">
      <c r="A65" s="16">
        <v>53</v>
      </c>
      <c r="B65" s="16">
        <f t="shared" ca="1" si="0"/>
        <v>0.33293091719086854</v>
      </c>
      <c r="C65" s="16">
        <f t="shared" ca="1" si="1"/>
        <v>-0.43183431915932768</v>
      </c>
      <c r="D65" s="16">
        <f t="shared" ca="1" si="2"/>
        <v>37.137439201598333</v>
      </c>
    </row>
    <row r="66" spans="1:4" x14ac:dyDescent="0.3">
      <c r="A66" s="16">
        <v>54</v>
      </c>
      <c r="B66" s="16">
        <f t="shared" ca="1" si="0"/>
        <v>0.33938300304502245</v>
      </c>
      <c r="C66" s="16">
        <f t="shared" ca="1" si="1"/>
        <v>-0.41414761145390033</v>
      </c>
      <c r="D66" s="16">
        <f t="shared" ca="1" si="2"/>
        <v>36.962615305946898</v>
      </c>
    </row>
    <row r="67" spans="1:4" x14ac:dyDescent="0.3">
      <c r="A67" s="16">
        <v>55</v>
      </c>
      <c r="B67" s="16">
        <f t="shared" ca="1" si="0"/>
        <v>0.29333420639071939</v>
      </c>
      <c r="C67" s="16">
        <f t="shared" ca="1" si="1"/>
        <v>-0.5436702433200854</v>
      </c>
      <c r="D67" s="16">
        <f t="shared" ca="1" si="2"/>
        <v>36.728391254657033</v>
      </c>
    </row>
    <row r="68" spans="1:4" x14ac:dyDescent="0.3">
      <c r="A68" s="16">
        <v>56</v>
      </c>
      <c r="B68" s="16">
        <f t="shared" ca="1" si="0"/>
        <v>0.12575277900502435</v>
      </c>
      <c r="C68" s="16">
        <f t="shared" ca="1" si="1"/>
        <v>-1.1467001752925867</v>
      </c>
      <c r="D68" s="16">
        <f t="shared" ca="1" si="2"/>
        <v>36.218329202995719</v>
      </c>
    </row>
    <row r="69" spans="1:4" x14ac:dyDescent="0.3">
      <c r="A69" s="16">
        <v>57</v>
      </c>
      <c r="B69" s="16">
        <f t="shared" ca="1" si="0"/>
        <v>0.14083523938357789</v>
      </c>
      <c r="C69" s="16">
        <f t="shared" ca="1" si="1"/>
        <v>-1.0765743269606149</v>
      </c>
      <c r="D69" s="16">
        <f t="shared" ca="1" si="2"/>
        <v>35.747045218340375</v>
      </c>
    </row>
    <row r="70" spans="1:4" x14ac:dyDescent="0.3">
      <c r="A70" s="16">
        <v>58</v>
      </c>
      <c r="B70" s="16">
        <f t="shared" ca="1" si="0"/>
        <v>0.31394702519054085</v>
      </c>
      <c r="C70" s="16">
        <f t="shared" ca="1" si="1"/>
        <v>-0.48469311601606024</v>
      </c>
      <c r="D70" s="16">
        <f t="shared" ca="1" si="2"/>
        <v>35.547032459224958</v>
      </c>
    </row>
    <row r="71" spans="1:4" x14ac:dyDescent="0.3">
      <c r="A71" s="16">
        <v>59</v>
      </c>
      <c r="B71" s="16">
        <f t="shared" ca="1" si="0"/>
        <v>0.83398811915268289</v>
      </c>
      <c r="C71" s="16">
        <f t="shared" ca="1" si="1"/>
        <v>0.97004560275504503</v>
      </c>
      <c r="D71" s="16">
        <f t="shared" ca="1" si="2"/>
        <v>36.004606614854488</v>
      </c>
    </row>
    <row r="72" spans="1:4" x14ac:dyDescent="0.3">
      <c r="A72" s="16">
        <v>60</v>
      </c>
      <c r="B72" s="16">
        <f t="shared" ca="1" si="0"/>
        <v>0.63203481676641582</v>
      </c>
      <c r="C72" s="16">
        <f t="shared" ca="1" si="1"/>
        <v>0.33724745509594017</v>
      </c>
      <c r="D72" s="16">
        <f t="shared" ca="1" si="2"/>
        <v>36.177333350041586</v>
      </c>
    </row>
    <row r="73" spans="1:4" x14ac:dyDescent="0.3">
      <c r="A73" s="16">
        <v>61</v>
      </c>
      <c r="B73" s="16">
        <f t="shared" ca="1" si="0"/>
        <v>0.63243488299384021</v>
      </c>
      <c r="C73" s="16">
        <f t="shared" ca="1" si="1"/>
        <v>0.33830914351338415</v>
      </c>
      <c r="D73" s="16">
        <f t="shared" ca="1" si="2"/>
        <v>36.351376890423886</v>
      </c>
    </row>
    <row r="74" spans="1:4" x14ac:dyDescent="0.3">
      <c r="A74" s="16">
        <v>62</v>
      </c>
      <c r="B74" s="16">
        <f t="shared" ca="1" si="0"/>
        <v>0.33604559581179427</v>
      </c>
      <c r="C74" s="16">
        <f t="shared" ca="1" si="1"/>
        <v>-0.42327971614659793</v>
      </c>
      <c r="D74" s="16">
        <f t="shared" ca="1" si="2"/>
        <v>36.176074322084183</v>
      </c>
    </row>
    <row r="75" spans="1:4" x14ac:dyDescent="0.3">
      <c r="A75" s="16">
        <v>63</v>
      </c>
      <c r="B75" s="16">
        <f t="shared" ca="1" si="0"/>
        <v>0.94804234951598898</v>
      </c>
      <c r="C75" s="16">
        <f t="shared" ca="1" si="1"/>
        <v>1.626161513794242</v>
      </c>
      <c r="D75" s="16">
        <f t="shared" ca="1" si="2"/>
        <v>36.947111343636948</v>
      </c>
    </row>
    <row r="76" spans="1:4" x14ac:dyDescent="0.3">
      <c r="A76" s="16">
        <v>64</v>
      </c>
      <c r="B76" s="16">
        <f t="shared" ca="1" si="0"/>
        <v>0.29411411768824225</v>
      </c>
      <c r="C76" s="16">
        <f t="shared" ca="1" si="1"/>
        <v>-0.54140532834039423</v>
      </c>
      <c r="D76" s="16">
        <f t="shared" ca="1" si="2"/>
        <v>36.714037348852727</v>
      </c>
    </row>
    <row r="77" spans="1:4" x14ac:dyDescent="0.3">
      <c r="A77" s="16">
        <v>65</v>
      </c>
      <c r="B77" s="16">
        <f t="shared" ca="1" si="0"/>
        <v>0.25921960697196855</v>
      </c>
      <c r="C77" s="16">
        <f t="shared" ca="1" si="1"/>
        <v>-0.64575318010674121</v>
      </c>
      <c r="D77" s="16">
        <f t="shared" ca="1" si="2"/>
        <v>36.434311984563237</v>
      </c>
    </row>
    <row r="78" spans="1:4" x14ac:dyDescent="0.3">
      <c r="A78" s="16">
        <v>66</v>
      </c>
      <c r="B78" s="16">
        <f t="shared" ref="B78:B141" ca="1" si="3">RAND()</f>
        <v>3.2752641790435577E-3</v>
      </c>
      <c r="C78" s="16">
        <f t="shared" ref="C78:C141" ca="1" si="4">_xlfn.NORM.S.INV(B78)</f>
        <v>-2.7188703229723536</v>
      </c>
      <c r="D78" s="16">
        <f t="shared" ref="D78:D141" ca="1" si="5">D77*EXP(($B$5-0.5*$B$6^2)*$B$7+$B$6*SQRT($B$7)*C78)</f>
        <v>35.220900691768897</v>
      </c>
    </row>
    <row r="79" spans="1:4" x14ac:dyDescent="0.3">
      <c r="A79" s="16">
        <v>67</v>
      </c>
      <c r="B79" s="16">
        <f t="shared" ca="1" si="3"/>
        <v>0.17226416249548537</v>
      </c>
      <c r="C79" s="16">
        <f t="shared" ca="1" si="4"/>
        <v>-0.94525574706353022</v>
      </c>
      <c r="D79" s="16">
        <f t="shared" ca="1" si="5"/>
        <v>34.820386405838221</v>
      </c>
    </row>
    <row r="80" spans="1:4" x14ac:dyDescent="0.3">
      <c r="A80" s="16">
        <v>68</v>
      </c>
      <c r="B80" s="16">
        <f t="shared" ca="1" si="3"/>
        <v>0.5414151076752991</v>
      </c>
      <c r="C80" s="16">
        <f t="shared" ca="1" si="4"/>
        <v>0.10399945049343998</v>
      </c>
      <c r="D80" s="16">
        <f t="shared" ca="1" si="5"/>
        <v>34.884357936371018</v>
      </c>
    </row>
    <row r="81" spans="1:4" x14ac:dyDescent="0.3">
      <c r="A81" s="16">
        <v>69</v>
      </c>
      <c r="B81" s="16">
        <f t="shared" ca="1" si="3"/>
        <v>0.76356137180630435</v>
      </c>
      <c r="C81" s="16">
        <f t="shared" ca="1" si="4"/>
        <v>0.71780544368624699</v>
      </c>
      <c r="D81" s="16">
        <f t="shared" ca="1" si="5"/>
        <v>35.220846328462876</v>
      </c>
    </row>
    <row r="82" spans="1:4" x14ac:dyDescent="0.3">
      <c r="A82" s="16">
        <v>70</v>
      </c>
      <c r="B82" s="16">
        <f t="shared" ca="1" si="3"/>
        <v>0.37639296761792074</v>
      </c>
      <c r="C82" s="16">
        <f t="shared" ca="1" si="4"/>
        <v>-0.31496802007902708</v>
      </c>
      <c r="D82" s="16">
        <f t="shared" ca="1" si="5"/>
        <v>35.099050092506452</v>
      </c>
    </row>
    <row r="83" spans="1:4" x14ac:dyDescent="0.3">
      <c r="A83" s="16">
        <v>71</v>
      </c>
      <c r="B83" s="16">
        <f t="shared" ca="1" si="3"/>
        <v>0.86856615777827617</v>
      </c>
      <c r="C83" s="16">
        <f t="shared" ca="1" si="4"/>
        <v>1.1196388702033433</v>
      </c>
      <c r="D83" s="16">
        <f t="shared" ca="1" si="5"/>
        <v>35.618191451077308</v>
      </c>
    </row>
    <row r="84" spans="1:4" x14ac:dyDescent="0.3">
      <c r="A84" s="16">
        <v>72</v>
      </c>
      <c r="B84" s="16">
        <f t="shared" ca="1" si="3"/>
        <v>0.26874396223147579</v>
      </c>
      <c r="C84" s="16">
        <f t="shared" ca="1" si="4"/>
        <v>-0.6166161729029126</v>
      </c>
      <c r="D84" s="16">
        <f t="shared" ca="1" si="5"/>
        <v>35.359845095164317</v>
      </c>
    </row>
    <row r="85" spans="1:4" x14ac:dyDescent="0.3">
      <c r="A85" s="16">
        <v>73</v>
      </c>
      <c r="B85" s="16">
        <f t="shared" ca="1" si="3"/>
        <v>0.52182963896898427</v>
      </c>
      <c r="C85" s="16">
        <f t="shared" ca="1" si="4"/>
        <v>5.4746124924973438E-2</v>
      </c>
      <c r="D85" s="16">
        <f t="shared" ca="1" si="5"/>
        <v>35.402744548684076</v>
      </c>
    </row>
    <row r="86" spans="1:4" x14ac:dyDescent="0.3">
      <c r="A86" s="16">
        <v>74</v>
      </c>
      <c r="B86" s="16">
        <f t="shared" ca="1" si="3"/>
        <v>0.49361634260814957</v>
      </c>
      <c r="C86" s="16">
        <f t="shared" ca="1" si="4"/>
        <v>-1.6002139028237231E-2</v>
      </c>
      <c r="D86" s="16">
        <f t="shared" ca="1" si="5"/>
        <v>35.413989791817734</v>
      </c>
    </row>
    <row r="87" spans="1:4" x14ac:dyDescent="0.3">
      <c r="A87" s="16">
        <v>75</v>
      </c>
      <c r="B87" s="16">
        <f t="shared" ca="1" si="3"/>
        <v>9.3374612101361998E-2</v>
      </c>
      <c r="C87" s="16">
        <f t="shared" ca="1" si="4"/>
        <v>-1.3202570080848786</v>
      </c>
      <c r="D87" s="16">
        <f t="shared" ca="1" si="5"/>
        <v>34.845599411332735</v>
      </c>
    </row>
    <row r="88" spans="1:4" x14ac:dyDescent="0.3">
      <c r="A88" s="16">
        <v>76</v>
      </c>
      <c r="B88" s="16">
        <f t="shared" ca="1" si="3"/>
        <v>0.70608850815424484</v>
      </c>
      <c r="C88" s="16">
        <f t="shared" ca="1" si="4"/>
        <v>0.54199349997973911</v>
      </c>
      <c r="D88" s="16">
        <f t="shared" ca="1" si="5"/>
        <v>35.103561505223233</v>
      </c>
    </row>
    <row r="89" spans="1:4" x14ac:dyDescent="0.3">
      <c r="A89" s="16">
        <v>77</v>
      </c>
      <c r="B89" s="16">
        <f t="shared" ca="1" si="3"/>
        <v>0.60139425595586349</v>
      </c>
      <c r="C89" s="16">
        <f t="shared" ca="1" si="4"/>
        <v>0.25695762135473654</v>
      </c>
      <c r="D89" s="16">
        <f t="shared" ca="1" si="5"/>
        <v>35.236161763370291</v>
      </c>
    </row>
    <row r="90" spans="1:4" x14ac:dyDescent="0.3">
      <c r="A90" s="16">
        <v>78</v>
      </c>
      <c r="B90" s="16">
        <f t="shared" ca="1" si="3"/>
        <v>0.23603285596036172</v>
      </c>
      <c r="C90" s="16">
        <f t="shared" ca="1" si="4"/>
        <v>-0.71912206701335701</v>
      </c>
      <c r="D90" s="16">
        <f t="shared" ca="1" si="5"/>
        <v>34.935259620343651</v>
      </c>
    </row>
    <row r="91" spans="1:4" x14ac:dyDescent="0.3">
      <c r="A91" s="16">
        <v>79</v>
      </c>
      <c r="B91" s="16">
        <f t="shared" ca="1" si="3"/>
        <v>0.11035623385050231</v>
      </c>
      <c r="C91" s="16">
        <f t="shared" ca="1" si="4"/>
        <v>-1.2246358141013591</v>
      </c>
      <c r="D91" s="16">
        <f t="shared" ca="1" si="5"/>
        <v>34.416154771503471</v>
      </c>
    </row>
    <row r="92" spans="1:4" x14ac:dyDescent="0.3">
      <c r="A92" s="16">
        <v>80</v>
      </c>
      <c r="B92" s="16">
        <f t="shared" ca="1" si="3"/>
        <v>0.37430523001437199</v>
      </c>
      <c r="C92" s="16">
        <f t="shared" ca="1" si="4"/>
        <v>-0.32047212235860395</v>
      </c>
      <c r="D92" s="16">
        <f t="shared" ca="1" si="5"/>
        <v>34.294753464795498</v>
      </c>
    </row>
    <row r="93" spans="1:4" x14ac:dyDescent="0.3">
      <c r="A93" s="16">
        <v>81</v>
      </c>
      <c r="B93" s="16">
        <f t="shared" ca="1" si="3"/>
        <v>0.91558645563535057</v>
      </c>
      <c r="C93" s="16">
        <f t="shared" ca="1" si="4"/>
        <v>1.3759823791213412</v>
      </c>
      <c r="D93" s="16">
        <f t="shared" ca="1" si="5"/>
        <v>34.915027908177088</v>
      </c>
    </row>
    <row r="94" spans="1:4" x14ac:dyDescent="0.3">
      <c r="A94" s="16">
        <v>82</v>
      </c>
      <c r="B94" s="16">
        <f t="shared" ca="1" si="3"/>
        <v>0.47466475724576662</v>
      </c>
      <c r="C94" s="16">
        <f t="shared" ca="1" si="4"/>
        <v>-6.3548783008383014E-2</v>
      </c>
      <c r="D94" s="16">
        <f t="shared" ca="1" si="5"/>
        <v>34.905119187013689</v>
      </c>
    </row>
    <row r="95" spans="1:4" x14ac:dyDescent="0.3">
      <c r="A95" s="16">
        <v>83</v>
      </c>
      <c r="B95" s="16">
        <f t="shared" ca="1" si="3"/>
        <v>0.92599547807074256</v>
      </c>
      <c r="C95" s="16">
        <f t="shared" ca="1" si="4"/>
        <v>1.4465997943164384</v>
      </c>
      <c r="D95" s="16">
        <f t="shared" ca="1" si="5"/>
        <v>35.568190063709167</v>
      </c>
    </row>
    <row r="96" spans="1:4" x14ac:dyDescent="0.3">
      <c r="A96" s="16">
        <v>84</v>
      </c>
      <c r="B96" s="16">
        <f t="shared" ca="1" si="3"/>
        <v>0.57100421428909531</v>
      </c>
      <c r="C96" s="16">
        <f t="shared" ca="1" si="4"/>
        <v>0.17893139438335037</v>
      </c>
      <c r="D96" s="16">
        <f t="shared" ca="1" si="5"/>
        <v>35.667325724630501</v>
      </c>
    </row>
    <row r="97" spans="1:4" x14ac:dyDescent="0.3">
      <c r="A97" s="16">
        <v>85</v>
      </c>
      <c r="B97" s="16">
        <f t="shared" ca="1" si="3"/>
        <v>0.23442571708861637</v>
      </c>
      <c r="C97" s="16">
        <f t="shared" ca="1" si="4"/>
        <v>-0.72434910991938883</v>
      </c>
      <c r="D97" s="16">
        <f t="shared" ca="1" si="5"/>
        <v>35.360403604188349</v>
      </c>
    </row>
    <row r="98" spans="1:4" x14ac:dyDescent="0.3">
      <c r="A98" s="16">
        <v>86</v>
      </c>
      <c r="B98" s="16">
        <f t="shared" ca="1" si="3"/>
        <v>0.87921698043450514</v>
      </c>
      <c r="C98" s="16">
        <f t="shared" ca="1" si="4"/>
        <v>1.1710814505963001</v>
      </c>
      <c r="D98" s="16">
        <f t="shared" ca="1" si="5"/>
        <v>35.906767615258076</v>
      </c>
    </row>
    <row r="99" spans="1:4" x14ac:dyDescent="0.3">
      <c r="A99" s="16">
        <v>87</v>
      </c>
      <c r="B99" s="16">
        <f t="shared" ca="1" si="3"/>
        <v>0.79239383177092326</v>
      </c>
      <c r="C99" s="16">
        <f t="shared" ca="1" si="4"/>
        <v>0.81475539736746405</v>
      </c>
      <c r="D99" s="16">
        <f t="shared" ca="1" si="5"/>
        <v>36.297603574280508</v>
      </c>
    </row>
    <row r="100" spans="1:4" x14ac:dyDescent="0.3">
      <c r="A100" s="16">
        <v>88</v>
      </c>
      <c r="B100" s="16">
        <f t="shared" ca="1" si="3"/>
        <v>0.59090179983521984</v>
      </c>
      <c r="C100" s="16">
        <f t="shared" ca="1" si="4"/>
        <v>0.22986535225759544</v>
      </c>
      <c r="D100" s="16">
        <f t="shared" ca="1" si="5"/>
        <v>36.422230422823922</v>
      </c>
    </row>
    <row r="101" spans="1:4" x14ac:dyDescent="0.3">
      <c r="A101" s="16">
        <v>89</v>
      </c>
      <c r="B101" s="16">
        <f t="shared" ca="1" si="3"/>
        <v>0.28893491676240513</v>
      </c>
      <c r="C101" s="16">
        <f t="shared" ca="1" si="4"/>
        <v>-0.55649891855966083</v>
      </c>
      <c r="D101" s="16">
        <f t="shared" ca="1" si="5"/>
        <v>36.185558317758357</v>
      </c>
    </row>
    <row r="102" spans="1:4" x14ac:dyDescent="0.3">
      <c r="A102" s="16">
        <v>90</v>
      </c>
      <c r="B102" s="16">
        <f t="shared" ca="1" si="3"/>
        <v>0.78403013316591796</v>
      </c>
      <c r="C102" s="16">
        <f t="shared" ca="1" si="4"/>
        <v>0.78587668707948533</v>
      </c>
      <c r="D102" s="16">
        <f t="shared" ca="1" si="5"/>
        <v>36.566069182699337</v>
      </c>
    </row>
    <row r="103" spans="1:4" x14ac:dyDescent="0.3">
      <c r="A103" s="16">
        <v>91</v>
      </c>
      <c r="B103" s="16">
        <f t="shared" ca="1" si="3"/>
        <v>0.40286136354823676</v>
      </c>
      <c r="C103" s="16">
        <f t="shared" ca="1" si="4"/>
        <v>-0.24594768875156836</v>
      </c>
      <c r="D103" s="16">
        <f t="shared" ca="1" si="5"/>
        <v>36.471448418486609</v>
      </c>
    </row>
    <row r="104" spans="1:4" x14ac:dyDescent="0.3">
      <c r="A104" s="16">
        <v>92</v>
      </c>
      <c r="B104" s="16">
        <f t="shared" ca="1" si="3"/>
        <v>0.8394672893361389</v>
      </c>
      <c r="C104" s="16">
        <f t="shared" ca="1" si="4"/>
        <v>0.99227084531420107</v>
      </c>
      <c r="D104" s="16">
        <f t="shared" ca="1" si="5"/>
        <v>36.951308632794571</v>
      </c>
    </row>
    <row r="105" spans="1:4" x14ac:dyDescent="0.3">
      <c r="A105" s="16">
        <v>93</v>
      </c>
      <c r="B105" s="16">
        <f t="shared" ca="1" si="3"/>
        <v>0.14312640041718028</v>
      </c>
      <c r="C105" s="16">
        <f t="shared" ca="1" si="4"/>
        <v>-1.0663780039203823</v>
      </c>
      <c r="D105" s="16">
        <f t="shared" ca="1" si="5"/>
        <v>36.475190958637832</v>
      </c>
    </row>
    <row r="106" spans="1:4" x14ac:dyDescent="0.3">
      <c r="A106" s="16">
        <v>94</v>
      </c>
      <c r="B106" s="16">
        <f t="shared" ca="1" si="3"/>
        <v>0.65585211599935966</v>
      </c>
      <c r="C106" s="16">
        <f t="shared" ca="1" si="4"/>
        <v>0.40116891124660004</v>
      </c>
      <c r="D106" s="16">
        <f t="shared" ca="1" si="5"/>
        <v>36.679820718875213</v>
      </c>
    </row>
    <row r="107" spans="1:4" x14ac:dyDescent="0.3">
      <c r="A107" s="16">
        <v>95</v>
      </c>
      <c r="B107" s="16">
        <f t="shared" ca="1" si="3"/>
        <v>0.41025235175724928</v>
      </c>
      <c r="C107" s="16">
        <f t="shared" ca="1" si="4"/>
        <v>-0.22689588293740662</v>
      </c>
      <c r="D107" s="16">
        <f t="shared" ca="1" si="5"/>
        <v>36.593723203989981</v>
      </c>
    </row>
    <row r="108" spans="1:4" x14ac:dyDescent="0.3">
      <c r="A108" s="16">
        <v>96</v>
      </c>
      <c r="B108" s="16">
        <f t="shared" ca="1" si="3"/>
        <v>0.93684672519676515</v>
      </c>
      <c r="C108" s="16">
        <f t="shared" ca="1" si="4"/>
        <v>1.5288301756205787</v>
      </c>
      <c r="D108" s="16">
        <f t="shared" ca="1" si="5"/>
        <v>37.327677312197729</v>
      </c>
    </row>
    <row r="109" spans="1:4" x14ac:dyDescent="0.3">
      <c r="A109" s="16">
        <v>97</v>
      </c>
      <c r="B109" s="16">
        <f t="shared" ca="1" si="3"/>
        <v>0.20769745615318391</v>
      </c>
      <c r="C109" s="16">
        <f t="shared" ca="1" si="4"/>
        <v>-0.81443654112712593</v>
      </c>
      <c r="D109" s="16">
        <f t="shared" ca="1" si="5"/>
        <v>36.964321833611102</v>
      </c>
    </row>
    <row r="110" spans="1:4" x14ac:dyDescent="0.3">
      <c r="A110" s="16">
        <v>98</v>
      </c>
      <c r="B110" s="16">
        <f t="shared" ca="1" si="3"/>
        <v>0.16888474064647252</v>
      </c>
      <c r="C110" s="16">
        <f t="shared" ca="1" si="4"/>
        <v>-0.95858176729145939</v>
      </c>
      <c r="D110" s="16">
        <f t="shared" ca="1" si="5"/>
        <v>36.537822824670648</v>
      </c>
    </row>
    <row r="111" spans="1:4" x14ac:dyDescent="0.3">
      <c r="A111" s="16">
        <v>99</v>
      </c>
      <c r="B111" s="16">
        <f t="shared" ca="1" si="3"/>
        <v>0.57308861930914479</v>
      </c>
      <c r="C111" s="16">
        <f t="shared" ca="1" si="4"/>
        <v>0.18424308455969132</v>
      </c>
      <c r="D111" s="16">
        <f t="shared" ca="1" si="5"/>
        <v>36.642122880057286</v>
      </c>
    </row>
    <row r="112" spans="1:4" x14ac:dyDescent="0.3">
      <c r="A112" s="16">
        <v>100</v>
      </c>
      <c r="B112" s="16">
        <f t="shared" ca="1" si="3"/>
        <v>0.22761921390484208</v>
      </c>
      <c r="C112" s="16">
        <f t="shared" ca="1" si="4"/>
        <v>-0.7467103384371182</v>
      </c>
      <c r="D112" s="16">
        <f t="shared" ca="1" si="5"/>
        <v>36.316538926059138</v>
      </c>
    </row>
    <row r="113" spans="1:4" x14ac:dyDescent="0.3">
      <c r="A113" s="16">
        <v>101</v>
      </c>
      <c r="B113" s="16">
        <f t="shared" ca="1" si="3"/>
        <v>0.32781463071413353</v>
      </c>
      <c r="C113" s="16">
        <f t="shared" ca="1" si="4"/>
        <v>-0.44595567895176708</v>
      </c>
      <c r="D113" s="16">
        <f t="shared" ca="1" si="5"/>
        <v>36.131039381937974</v>
      </c>
    </row>
    <row r="114" spans="1:4" x14ac:dyDescent="0.3">
      <c r="A114" s="16">
        <v>102</v>
      </c>
      <c r="B114" s="16">
        <f t="shared" ca="1" si="3"/>
        <v>0.46126325157558401</v>
      </c>
      <c r="C114" s="16">
        <f t="shared" ca="1" si="4"/>
        <v>-9.7251711045907199E-2</v>
      </c>
      <c r="D114" s="16">
        <f t="shared" ca="1" si="5"/>
        <v>36.105390117580292</v>
      </c>
    </row>
    <row r="115" spans="1:4" x14ac:dyDescent="0.3">
      <c r="A115" s="16">
        <v>103</v>
      </c>
      <c r="B115" s="16">
        <f t="shared" ca="1" si="3"/>
        <v>0.10842665691450171</v>
      </c>
      <c r="C115" s="16">
        <f t="shared" ca="1" si="4"/>
        <v>-1.2349387140002315</v>
      </c>
      <c r="D115" s="16">
        <f t="shared" ca="1" si="5"/>
        <v>35.564263112075253</v>
      </c>
    </row>
    <row r="116" spans="1:4" x14ac:dyDescent="0.3">
      <c r="A116" s="16">
        <v>104</v>
      </c>
      <c r="B116" s="16">
        <f t="shared" ca="1" si="3"/>
        <v>0.79077537870478576</v>
      </c>
      <c r="C116" s="16">
        <f t="shared" ca="1" si="4"/>
        <v>0.80911457991456659</v>
      </c>
      <c r="D116" s="16">
        <f t="shared" ca="1" si="5"/>
        <v>35.948805910988057</v>
      </c>
    </row>
    <row r="117" spans="1:4" x14ac:dyDescent="0.3">
      <c r="A117" s="16">
        <v>105</v>
      </c>
      <c r="B117" s="16">
        <f t="shared" ca="1" si="3"/>
        <v>4.1984060281513691E-2</v>
      </c>
      <c r="C117" s="16">
        <f t="shared" ca="1" si="4"/>
        <v>-1.7281121446801924</v>
      </c>
      <c r="D117" s="16">
        <f t="shared" ca="1" si="5"/>
        <v>35.189818254423983</v>
      </c>
    </row>
    <row r="118" spans="1:4" x14ac:dyDescent="0.3">
      <c r="A118" s="16">
        <v>106</v>
      </c>
      <c r="B118" s="16">
        <f t="shared" ca="1" si="3"/>
        <v>0.89718205619548375</v>
      </c>
      <c r="C118" s="16">
        <f t="shared" ca="1" si="4"/>
        <v>1.2656570608918043</v>
      </c>
      <c r="D118" s="16">
        <f t="shared" ca="1" si="5"/>
        <v>35.776320028128517</v>
      </c>
    </row>
    <row r="119" spans="1:4" x14ac:dyDescent="0.3">
      <c r="A119" s="16">
        <v>107</v>
      </c>
      <c r="B119" s="16">
        <f t="shared" ca="1" si="3"/>
        <v>0.45352889249554917</v>
      </c>
      <c r="C119" s="16">
        <f t="shared" ca="1" si="4"/>
        <v>-0.1167504819237154</v>
      </c>
      <c r="D119" s="16">
        <f t="shared" ca="1" si="5"/>
        <v>35.742105981795198</v>
      </c>
    </row>
    <row r="120" spans="1:4" x14ac:dyDescent="0.3">
      <c r="A120" s="16">
        <v>108</v>
      </c>
      <c r="B120" s="16">
        <f t="shared" ca="1" si="3"/>
        <v>0.73275723487619049</v>
      </c>
      <c r="C120" s="16">
        <f t="shared" ca="1" si="4"/>
        <v>0.62117341351405364</v>
      </c>
      <c r="D120" s="16">
        <f t="shared" ca="1" si="5"/>
        <v>36.042785695257784</v>
      </c>
    </row>
    <row r="121" spans="1:4" x14ac:dyDescent="0.3">
      <c r="A121" s="16">
        <v>109</v>
      </c>
      <c r="B121" s="16">
        <f t="shared" ca="1" si="3"/>
        <v>0.94254259036003096</v>
      </c>
      <c r="C121" s="16">
        <f t="shared" ca="1" si="4"/>
        <v>1.5764817592130493</v>
      </c>
      <c r="D121" s="16">
        <f t="shared" ca="1" si="5"/>
        <v>36.787856948260647</v>
      </c>
    </row>
    <row r="122" spans="1:4" x14ac:dyDescent="0.3">
      <c r="A122" s="16">
        <v>110</v>
      </c>
      <c r="B122" s="16">
        <f t="shared" ca="1" si="3"/>
        <v>0.14277362419253137</v>
      </c>
      <c r="C122" s="16">
        <f t="shared" ca="1" si="4"/>
        <v>-1.0679407299149717</v>
      </c>
      <c r="D122" s="16">
        <f t="shared" ca="1" si="5"/>
        <v>36.31312753723504</v>
      </c>
    </row>
    <row r="123" spans="1:4" x14ac:dyDescent="0.3">
      <c r="A123" s="16">
        <v>111</v>
      </c>
      <c r="B123" s="16">
        <f t="shared" ca="1" si="3"/>
        <v>7.6273692625930867E-2</v>
      </c>
      <c r="C123" s="16">
        <f t="shared" ca="1" si="4"/>
        <v>-1.4305912898142863</v>
      </c>
      <c r="D123" s="16">
        <f t="shared" ca="1" si="5"/>
        <v>35.680474576439842</v>
      </c>
    </row>
    <row r="124" spans="1:4" x14ac:dyDescent="0.3">
      <c r="A124" s="16">
        <v>112</v>
      </c>
      <c r="B124" s="16">
        <f t="shared" ca="1" si="3"/>
        <v>0.97710394302799009</v>
      </c>
      <c r="C124" s="16">
        <f t="shared" ca="1" si="4"/>
        <v>1.997304508079957</v>
      </c>
      <c r="D124" s="16">
        <f t="shared" ca="1" si="5"/>
        <v>36.612427583640674</v>
      </c>
    </row>
    <row r="125" spans="1:4" x14ac:dyDescent="0.3">
      <c r="A125" s="16">
        <v>113</v>
      </c>
      <c r="B125" s="16">
        <f t="shared" ca="1" si="3"/>
        <v>4.4524653464005248E-2</v>
      </c>
      <c r="C125" s="16">
        <f t="shared" ca="1" si="4"/>
        <v>-1.7004340750165865</v>
      </c>
      <c r="D125" s="16">
        <f t="shared" ca="1" si="5"/>
        <v>35.85197856019451</v>
      </c>
    </row>
    <row r="126" spans="1:4" x14ac:dyDescent="0.3">
      <c r="A126" s="16">
        <v>114</v>
      </c>
      <c r="B126" s="16">
        <f t="shared" ca="1" si="3"/>
        <v>0.86976414374483502</v>
      </c>
      <c r="C126" s="16">
        <f t="shared" ca="1" si="4"/>
        <v>1.1252769064974886</v>
      </c>
      <c r="D126" s="16">
        <f t="shared" ca="1" si="5"/>
        <v>36.384851032071531</v>
      </c>
    </row>
    <row r="127" spans="1:4" x14ac:dyDescent="0.3">
      <c r="A127" s="16">
        <v>115</v>
      </c>
      <c r="B127" s="16">
        <f t="shared" ca="1" si="3"/>
        <v>0.8213685518631243</v>
      </c>
      <c r="C127" s="16">
        <f t="shared" ca="1" si="4"/>
        <v>0.92059311858426462</v>
      </c>
      <c r="D127" s="16">
        <f t="shared" ca="1" si="5"/>
        <v>36.830164311261896</v>
      </c>
    </row>
    <row r="128" spans="1:4" x14ac:dyDescent="0.3">
      <c r="A128" s="16">
        <v>116</v>
      </c>
      <c r="B128" s="16">
        <f t="shared" ca="1" si="3"/>
        <v>0.125634719751747</v>
      </c>
      <c r="C128" s="16">
        <f t="shared" ca="1" si="4"/>
        <v>-1.1472714746923789</v>
      </c>
      <c r="D128" s="16">
        <f t="shared" ca="1" si="5"/>
        <v>36.318426442435275</v>
      </c>
    </row>
    <row r="129" spans="1:4" x14ac:dyDescent="0.3">
      <c r="A129" s="16">
        <v>117</v>
      </c>
      <c r="B129" s="16">
        <f t="shared" ca="1" si="3"/>
        <v>0.82752610388833159</v>
      </c>
      <c r="C129" s="16">
        <f t="shared" ca="1" si="4"/>
        <v>0.9444342381420775</v>
      </c>
      <c r="D129" s="16">
        <f t="shared" ca="1" si="5"/>
        <v>36.774014982141694</v>
      </c>
    </row>
    <row r="130" spans="1:4" x14ac:dyDescent="0.3">
      <c r="A130" s="16">
        <v>118</v>
      </c>
      <c r="B130" s="16">
        <f t="shared" ca="1" si="3"/>
        <v>0.97271443296381543</v>
      </c>
      <c r="C130" s="16">
        <f t="shared" ca="1" si="4"/>
        <v>1.9222752378650296</v>
      </c>
      <c r="D130" s="16">
        <f t="shared" ca="1" si="5"/>
        <v>37.698735520018708</v>
      </c>
    </row>
    <row r="131" spans="1:4" x14ac:dyDescent="0.3">
      <c r="A131" s="16">
        <v>119</v>
      </c>
      <c r="B131" s="16">
        <f t="shared" ca="1" si="3"/>
        <v>0.32048219495988284</v>
      </c>
      <c r="C131" s="16">
        <f t="shared" ca="1" si="4"/>
        <v>-0.4663508450717524</v>
      </c>
      <c r="D131" s="16">
        <f t="shared" ca="1" si="5"/>
        <v>37.496501296798463</v>
      </c>
    </row>
    <row r="132" spans="1:4" x14ac:dyDescent="0.3">
      <c r="A132" s="16">
        <v>120</v>
      </c>
      <c r="B132" s="16">
        <f t="shared" ca="1" si="3"/>
        <v>0.63089355940319602</v>
      </c>
      <c r="C132" s="16">
        <f t="shared" ca="1" si="4"/>
        <v>0.33422089045621328</v>
      </c>
      <c r="D132" s="16">
        <f t="shared" ca="1" si="5"/>
        <v>37.674942823746463</v>
      </c>
    </row>
    <row r="133" spans="1:4" x14ac:dyDescent="0.3">
      <c r="A133" s="16">
        <v>121</v>
      </c>
      <c r="B133" s="16">
        <f t="shared" ca="1" si="3"/>
        <v>0.88533827081588967</v>
      </c>
      <c r="C133" s="16">
        <f t="shared" ca="1" si="4"/>
        <v>1.202103428075751</v>
      </c>
      <c r="D133" s="16">
        <f t="shared" ca="1" si="5"/>
        <v>38.272084498110473</v>
      </c>
    </row>
    <row r="134" spans="1:4" x14ac:dyDescent="0.3">
      <c r="A134" s="16">
        <v>122</v>
      </c>
      <c r="B134" s="16">
        <f t="shared" ca="1" si="3"/>
        <v>0.75325424193533341</v>
      </c>
      <c r="C134" s="16">
        <f t="shared" ca="1" si="4"/>
        <v>0.68476612264470271</v>
      </c>
      <c r="D134" s="16">
        <f t="shared" ca="1" si="5"/>
        <v>38.625104804722845</v>
      </c>
    </row>
    <row r="135" spans="1:4" x14ac:dyDescent="0.3">
      <c r="A135" s="16">
        <v>123</v>
      </c>
      <c r="B135" s="16">
        <f t="shared" ca="1" si="3"/>
        <v>0.48180621487396769</v>
      </c>
      <c r="C135" s="16">
        <f t="shared" ca="1" si="4"/>
        <v>-4.5620876130776533E-2</v>
      </c>
      <c r="D135" s="16">
        <f t="shared" ca="1" si="5"/>
        <v>38.622900783565242</v>
      </c>
    </row>
    <row r="136" spans="1:4" x14ac:dyDescent="0.3">
      <c r="A136" s="16">
        <v>124</v>
      </c>
      <c r="B136" s="16">
        <f t="shared" ca="1" si="3"/>
        <v>4.044795977501725E-2</v>
      </c>
      <c r="C136" s="16">
        <f t="shared" ca="1" si="4"/>
        <v>-1.7455112290511192</v>
      </c>
      <c r="D136" s="16">
        <f t="shared" ca="1" si="5"/>
        <v>37.799135063078353</v>
      </c>
    </row>
    <row r="137" spans="1:4" x14ac:dyDescent="0.3">
      <c r="A137" s="16">
        <v>125</v>
      </c>
      <c r="B137" s="16">
        <f t="shared" ca="1" si="3"/>
        <v>0.7514841253664023</v>
      </c>
      <c r="C137" s="16">
        <f t="shared" ca="1" si="4"/>
        <v>0.67916748106190472</v>
      </c>
      <c r="D137" s="16">
        <f t="shared" ca="1" si="5"/>
        <v>38.14509145289626</v>
      </c>
    </row>
    <row r="138" spans="1:4" x14ac:dyDescent="0.3">
      <c r="A138" s="16">
        <v>126</v>
      </c>
      <c r="B138" s="16">
        <f t="shared" ca="1" si="3"/>
        <v>0.65670207405777803</v>
      </c>
      <c r="C138" s="16">
        <f t="shared" ca="1" si="4"/>
        <v>0.40347903878920605</v>
      </c>
      <c r="D138" s="16">
        <f t="shared" ca="1" si="5"/>
        <v>38.360210444830059</v>
      </c>
    </row>
    <row r="139" spans="1:4" x14ac:dyDescent="0.3">
      <c r="A139" s="16">
        <v>127</v>
      </c>
      <c r="B139" s="16">
        <f t="shared" ca="1" si="3"/>
        <v>0.45645515474153564</v>
      </c>
      <c r="C139" s="16">
        <f t="shared" ca="1" si="4"/>
        <v>-0.10936838364966919</v>
      </c>
      <c r="D139" s="16">
        <f t="shared" ca="1" si="5"/>
        <v>38.327104042984267</v>
      </c>
    </row>
    <row r="140" spans="1:4" x14ac:dyDescent="0.3">
      <c r="A140" s="16">
        <v>128</v>
      </c>
      <c r="B140" s="16">
        <f t="shared" ca="1" si="3"/>
        <v>0.46866882764183837</v>
      </c>
      <c r="C140" s="16">
        <f t="shared" ca="1" si="4"/>
        <v>-7.8616509773257251E-2</v>
      </c>
      <c r="D140" s="16">
        <f t="shared" ca="1" si="5"/>
        <v>38.308924868715536</v>
      </c>
    </row>
    <row r="141" spans="1:4" x14ac:dyDescent="0.3">
      <c r="A141" s="16">
        <v>129</v>
      </c>
      <c r="B141" s="16">
        <f t="shared" ca="1" si="3"/>
        <v>0.49262511772099138</v>
      </c>
      <c r="C141" s="16">
        <f t="shared" ca="1" si="4"/>
        <v>-1.8487141460598204E-2</v>
      </c>
      <c r="D141" s="16">
        <f t="shared" ca="1" si="5"/>
        <v>38.319888693315818</v>
      </c>
    </row>
    <row r="142" spans="1:4" x14ac:dyDescent="0.3">
      <c r="A142" s="16">
        <v>130</v>
      </c>
      <c r="B142" s="16">
        <f t="shared" ref="B142:B205" ca="1" si="6">RAND()</f>
        <v>0.72491428208468822</v>
      </c>
      <c r="C142" s="16">
        <f t="shared" ref="C142:C205" ca="1" si="7">_xlfn.NORM.S.INV(B142)</f>
        <v>0.59750325293861195</v>
      </c>
      <c r="D142" s="16">
        <f t="shared" ref="D142:D205" ca="1" si="8">D141*EXP(($B$5-0.5*$B$6^2)*$B$7+$B$6*SQRT($B$7)*C142)</f>
        <v>38.630685940144083</v>
      </c>
    </row>
    <row r="143" spans="1:4" x14ac:dyDescent="0.3">
      <c r="A143" s="16">
        <v>131</v>
      </c>
      <c r="B143" s="16">
        <f t="shared" ca="1" si="6"/>
        <v>0.82350743474201094</v>
      </c>
      <c r="C143" s="16">
        <f t="shared" ca="1" si="7"/>
        <v>0.92881468925398747</v>
      </c>
      <c r="D143" s="16">
        <f t="shared" ca="1" si="8"/>
        <v>39.107552736708293</v>
      </c>
    </row>
    <row r="144" spans="1:4" x14ac:dyDescent="0.3">
      <c r="A144" s="16">
        <v>132</v>
      </c>
      <c r="B144" s="16">
        <f t="shared" ca="1" si="6"/>
        <v>0.67872893353833574</v>
      </c>
      <c r="C144" s="16">
        <f t="shared" ca="1" si="7"/>
        <v>0.46414741507715157</v>
      </c>
      <c r="D144" s="16">
        <f t="shared" ca="1" si="8"/>
        <v>39.358291528978711</v>
      </c>
    </row>
    <row r="145" spans="1:4" x14ac:dyDescent="0.3">
      <c r="A145" s="16">
        <v>133</v>
      </c>
      <c r="B145" s="16">
        <f t="shared" ca="1" si="6"/>
        <v>0.80915830682379519</v>
      </c>
      <c r="C145" s="16">
        <f t="shared" ca="1" si="7"/>
        <v>0.87479880720373893</v>
      </c>
      <c r="D145" s="16">
        <f t="shared" ca="1" si="8"/>
        <v>39.816925745121644</v>
      </c>
    </row>
    <row r="146" spans="1:4" x14ac:dyDescent="0.3">
      <c r="A146" s="16">
        <v>134</v>
      </c>
      <c r="B146" s="16">
        <f t="shared" ca="1" si="6"/>
        <v>0.42935237836435292</v>
      </c>
      <c r="C146" s="16">
        <f t="shared" ca="1" si="7"/>
        <v>-0.17802319881165804</v>
      </c>
      <c r="D146" s="16">
        <f t="shared" ca="1" si="8"/>
        <v>39.748029070075425</v>
      </c>
    </row>
    <row r="147" spans="1:4" x14ac:dyDescent="0.3">
      <c r="A147" s="16">
        <v>135</v>
      </c>
      <c r="B147" s="16">
        <f t="shared" ca="1" si="6"/>
        <v>0.73936656620603836</v>
      </c>
      <c r="C147" s="16">
        <f t="shared" ca="1" si="7"/>
        <v>0.64139378854276163</v>
      </c>
      <c r="D147" s="16">
        <f t="shared" ca="1" si="8"/>
        <v>40.092661706328123</v>
      </c>
    </row>
    <row r="148" spans="1:4" x14ac:dyDescent="0.3">
      <c r="A148" s="16">
        <v>136</v>
      </c>
      <c r="B148" s="16">
        <f t="shared" ca="1" si="6"/>
        <v>0.98804276040114458</v>
      </c>
      <c r="C148" s="16">
        <f t="shared" ca="1" si="7"/>
        <v>2.2585004074999921</v>
      </c>
      <c r="D148" s="16">
        <f t="shared" ca="1" si="8"/>
        <v>41.276005035953958</v>
      </c>
    </row>
    <row r="149" spans="1:4" x14ac:dyDescent="0.3">
      <c r="A149" s="16">
        <v>137</v>
      </c>
      <c r="B149" s="16">
        <f t="shared" ca="1" si="6"/>
        <v>0.98423428390337753</v>
      </c>
      <c r="C149" s="16">
        <f t="shared" ca="1" si="7"/>
        <v>2.1503007617505236</v>
      </c>
      <c r="D149" s="16">
        <f t="shared" ca="1" si="8"/>
        <v>42.4361558638684</v>
      </c>
    </row>
    <row r="150" spans="1:4" x14ac:dyDescent="0.3">
      <c r="A150" s="16">
        <v>138</v>
      </c>
      <c r="B150" s="16">
        <f t="shared" ca="1" si="6"/>
        <v>9.4945756834567518E-2</v>
      </c>
      <c r="C150" s="16">
        <f t="shared" ca="1" si="7"/>
        <v>-1.3109001101049929</v>
      </c>
      <c r="D150" s="16">
        <f t="shared" ca="1" si="8"/>
        <v>41.760002814641879</v>
      </c>
    </row>
    <row r="151" spans="1:4" x14ac:dyDescent="0.3">
      <c r="A151" s="16">
        <v>139</v>
      </c>
      <c r="B151" s="16">
        <f t="shared" ca="1" si="6"/>
        <v>0.45447600048530412</v>
      </c>
      <c r="C151" s="16">
        <f t="shared" ca="1" si="7"/>
        <v>-0.11436053024710074</v>
      </c>
      <c r="D151" s="16">
        <f t="shared" ca="1" si="8"/>
        <v>41.721327628380919</v>
      </c>
    </row>
    <row r="152" spans="1:4" x14ac:dyDescent="0.3">
      <c r="A152" s="16">
        <v>140</v>
      </c>
      <c r="B152" s="16">
        <f t="shared" ca="1" si="6"/>
        <v>0.92361190065240073</v>
      </c>
      <c r="C152" s="16">
        <f t="shared" ca="1" si="7"/>
        <v>1.4297938361576474</v>
      </c>
      <c r="D152" s="16">
        <f t="shared" ca="1" si="8"/>
        <v>42.504845126189814</v>
      </c>
    </row>
    <row r="153" spans="1:4" x14ac:dyDescent="0.3">
      <c r="A153" s="16">
        <v>141</v>
      </c>
      <c r="B153" s="16">
        <f t="shared" ca="1" si="6"/>
        <v>0.45556311639515934</v>
      </c>
      <c r="C153" s="16">
        <f t="shared" ca="1" si="7"/>
        <v>-0.11161808384484181</v>
      </c>
      <c r="D153" s="16">
        <f t="shared" ca="1" si="8"/>
        <v>42.46695325137258</v>
      </c>
    </row>
    <row r="154" spans="1:4" x14ac:dyDescent="0.3">
      <c r="A154" s="16">
        <v>142</v>
      </c>
      <c r="B154" s="16">
        <f t="shared" ca="1" si="6"/>
        <v>0.82670508324280845</v>
      </c>
      <c r="C154" s="16">
        <f t="shared" ca="1" si="7"/>
        <v>0.94122448138180459</v>
      </c>
      <c r="D154" s="16">
        <f t="shared" ca="1" si="8"/>
        <v>42.997924862281707</v>
      </c>
    </row>
    <row r="155" spans="1:4" x14ac:dyDescent="0.3">
      <c r="A155" s="16">
        <v>143</v>
      </c>
      <c r="B155" s="16">
        <f t="shared" ca="1" si="6"/>
        <v>7.3060271605582705E-2</v>
      </c>
      <c r="C155" s="16">
        <f t="shared" ca="1" si="7"/>
        <v>-1.4533718309947128</v>
      </c>
      <c r="D155" s="16">
        <f t="shared" ca="1" si="8"/>
        <v>42.236635930099133</v>
      </c>
    </row>
    <row r="156" spans="1:4" x14ac:dyDescent="0.3">
      <c r="A156" s="16">
        <v>144</v>
      </c>
      <c r="B156" s="16">
        <f t="shared" ca="1" si="6"/>
        <v>8.6260828513066823E-2</v>
      </c>
      <c r="C156" s="16">
        <f t="shared" ca="1" si="7"/>
        <v>-1.3641458811509046</v>
      </c>
      <c r="D156" s="16">
        <f t="shared" ca="1" si="8"/>
        <v>41.535677729978197</v>
      </c>
    </row>
    <row r="157" spans="1:4" x14ac:dyDescent="0.3">
      <c r="A157" s="16">
        <v>145</v>
      </c>
      <c r="B157" s="16">
        <f t="shared" ca="1" si="6"/>
        <v>0.4922073883142406</v>
      </c>
      <c r="C157" s="16">
        <f t="shared" ca="1" si="7"/>
        <v>-1.9534423082384261E-2</v>
      </c>
      <c r="D157" s="16">
        <f t="shared" ca="1" si="8"/>
        <v>41.547014650796214</v>
      </c>
    </row>
    <row r="158" spans="1:4" x14ac:dyDescent="0.3">
      <c r="A158" s="16">
        <v>146</v>
      </c>
      <c r="B158" s="16">
        <f t="shared" ca="1" si="6"/>
        <v>9.3414212578303402E-2</v>
      </c>
      <c r="C158" s="16">
        <f t="shared" ca="1" si="7"/>
        <v>-1.3200197467146662</v>
      </c>
      <c r="D158" s="16">
        <f t="shared" ca="1" si="8"/>
        <v>40.880312628582637</v>
      </c>
    </row>
    <row r="159" spans="1:4" x14ac:dyDescent="0.3">
      <c r="A159" s="16">
        <v>147</v>
      </c>
      <c r="B159" s="16">
        <f t="shared" ca="1" si="6"/>
        <v>0.63138901683375293</v>
      </c>
      <c r="C159" s="16">
        <f t="shared" ca="1" si="7"/>
        <v>0.33553444424768702</v>
      </c>
      <c r="D159" s="16">
        <f t="shared" ca="1" si="8"/>
        <v>41.07553979978394</v>
      </c>
    </row>
    <row r="160" spans="1:4" x14ac:dyDescent="0.3">
      <c r="A160" s="16">
        <v>148</v>
      </c>
      <c r="B160" s="16">
        <f t="shared" ca="1" si="6"/>
        <v>0.87844043991486354</v>
      </c>
      <c r="C160" s="16">
        <f t="shared" ca="1" si="7"/>
        <v>1.1672259839169232</v>
      </c>
      <c r="D160" s="16">
        <f t="shared" ca="1" si="8"/>
        <v>41.708175980243688</v>
      </c>
    </row>
    <row r="161" spans="1:4" x14ac:dyDescent="0.3">
      <c r="A161" s="16">
        <v>149</v>
      </c>
      <c r="B161" s="16">
        <f t="shared" ca="1" si="6"/>
        <v>0.7952112188063658</v>
      </c>
      <c r="C161" s="16">
        <f t="shared" ca="1" si="7"/>
        <v>0.82463725758378548</v>
      </c>
      <c r="D161" s="16">
        <f t="shared" ca="1" si="8"/>
        <v>42.167429243764957</v>
      </c>
    </row>
    <row r="162" spans="1:4" x14ac:dyDescent="0.3">
      <c r="A162" s="16">
        <v>150</v>
      </c>
      <c r="B162" s="16">
        <f t="shared" ca="1" si="6"/>
        <v>0.33593436248083919</v>
      </c>
      <c r="C162" s="16">
        <f t="shared" ca="1" si="7"/>
        <v>-0.42358468694428836</v>
      </c>
      <c r="D162" s="16">
        <f t="shared" ca="1" si="8"/>
        <v>41.963917193704503</v>
      </c>
    </row>
    <row r="163" spans="1:4" x14ac:dyDescent="0.3">
      <c r="A163" s="16">
        <v>151</v>
      </c>
      <c r="B163" s="16">
        <f t="shared" ca="1" si="6"/>
        <v>0.17968453974209242</v>
      </c>
      <c r="C163" s="16">
        <f t="shared" ca="1" si="7"/>
        <v>-0.91656796138127106</v>
      </c>
      <c r="D163" s="16">
        <f t="shared" ca="1" si="8"/>
        <v>41.501781957271504</v>
      </c>
    </row>
    <row r="164" spans="1:4" x14ac:dyDescent="0.3">
      <c r="A164" s="16">
        <v>152</v>
      </c>
      <c r="B164" s="16">
        <f t="shared" ca="1" si="6"/>
        <v>0.86474108179505271</v>
      </c>
      <c r="C164" s="16">
        <f t="shared" ca="1" si="7"/>
        <v>1.101870819277833</v>
      </c>
      <c r="D164" s="16">
        <f t="shared" ca="1" si="8"/>
        <v>42.106160112607675</v>
      </c>
    </row>
    <row r="165" spans="1:4" x14ac:dyDescent="0.3">
      <c r="A165" s="16">
        <v>153</v>
      </c>
      <c r="B165" s="16">
        <f t="shared" ca="1" si="6"/>
        <v>0.71371078216085015</v>
      </c>
      <c r="C165" s="16">
        <f t="shared" ca="1" si="7"/>
        <v>0.56425818336266953</v>
      </c>
      <c r="D165" s="16">
        <f t="shared" ca="1" si="8"/>
        <v>42.429819924324292</v>
      </c>
    </row>
    <row r="166" spans="1:4" x14ac:dyDescent="0.3">
      <c r="A166" s="16">
        <v>154</v>
      </c>
      <c r="B166" s="16">
        <f t="shared" ca="1" si="6"/>
        <v>0.66009792788782695</v>
      </c>
      <c r="C166" s="16">
        <f t="shared" ca="1" si="7"/>
        <v>0.41273040707692898</v>
      </c>
      <c r="D166" s="16">
        <f t="shared" ca="1" si="8"/>
        <v>42.674096112260926</v>
      </c>
    </row>
    <row r="167" spans="1:4" x14ac:dyDescent="0.3">
      <c r="A167" s="16">
        <v>155</v>
      </c>
      <c r="B167" s="16">
        <f t="shared" ca="1" si="6"/>
        <v>2.5367562321240156E-2</v>
      </c>
      <c r="C167" s="16">
        <f t="shared" ca="1" si="7"/>
        <v>-1.9537133665615098</v>
      </c>
      <c r="D167" s="16">
        <f t="shared" ca="1" si="8"/>
        <v>41.654081174292251</v>
      </c>
    </row>
    <row r="168" spans="1:4" x14ac:dyDescent="0.3">
      <c r="A168" s="16">
        <v>156</v>
      </c>
      <c r="B168" s="16">
        <f t="shared" ca="1" si="6"/>
        <v>0.83104797799577601</v>
      </c>
      <c r="C168" s="16">
        <f t="shared" ca="1" si="7"/>
        <v>0.95831479809442766</v>
      </c>
      <c r="D168" s="16">
        <f t="shared" ca="1" si="8"/>
        <v>42.184007545532481</v>
      </c>
    </row>
    <row r="169" spans="1:4" x14ac:dyDescent="0.3">
      <c r="A169" s="16">
        <v>157</v>
      </c>
      <c r="B169" s="16">
        <f t="shared" ca="1" si="6"/>
        <v>2.6334198005219855E-2</v>
      </c>
      <c r="C169" s="16">
        <f t="shared" ca="1" si="7"/>
        <v>-1.9376298661787641</v>
      </c>
      <c r="D169" s="16">
        <f t="shared" ca="1" si="8"/>
        <v>41.184084638493921</v>
      </c>
    </row>
    <row r="170" spans="1:4" x14ac:dyDescent="0.3">
      <c r="A170" s="16">
        <v>158</v>
      </c>
      <c r="B170" s="16">
        <f t="shared" ca="1" si="6"/>
        <v>0.63993142016965909</v>
      </c>
      <c r="C170" s="16">
        <f t="shared" ca="1" si="7"/>
        <v>0.35827548841997625</v>
      </c>
      <c r="D170" s="16">
        <f t="shared" ca="1" si="8"/>
        <v>41.392667550362866</v>
      </c>
    </row>
    <row r="171" spans="1:4" x14ac:dyDescent="0.3">
      <c r="A171" s="16">
        <v>159</v>
      </c>
      <c r="B171" s="16">
        <f t="shared" ca="1" si="6"/>
        <v>0.24061551341919007</v>
      </c>
      <c r="C171" s="16">
        <f t="shared" ca="1" si="7"/>
        <v>-0.70432399455615335</v>
      </c>
      <c r="D171" s="16">
        <f t="shared" ca="1" si="8"/>
        <v>41.04687394817654</v>
      </c>
    </row>
    <row r="172" spans="1:4" x14ac:dyDescent="0.3">
      <c r="A172" s="16">
        <v>160</v>
      </c>
      <c r="B172" s="16">
        <f t="shared" ca="1" si="6"/>
        <v>0.73637725596890269</v>
      </c>
      <c r="C172" s="16">
        <f t="shared" ca="1" si="7"/>
        <v>0.6322163911910087</v>
      </c>
      <c r="D172" s="16">
        <f t="shared" ca="1" si="8"/>
        <v>41.397962133115925</v>
      </c>
    </row>
    <row r="173" spans="1:4" x14ac:dyDescent="0.3">
      <c r="A173" s="16">
        <v>161</v>
      </c>
      <c r="B173" s="16">
        <f t="shared" ca="1" si="6"/>
        <v>0.23093522028565006</v>
      </c>
      <c r="C173" s="16">
        <f t="shared" ca="1" si="7"/>
        <v>-0.73577039548480849</v>
      </c>
      <c r="D173" s="16">
        <f t="shared" ca="1" si="8"/>
        <v>41.035798284667507</v>
      </c>
    </row>
    <row r="174" spans="1:4" x14ac:dyDescent="0.3">
      <c r="A174" s="16">
        <v>162</v>
      </c>
      <c r="B174" s="16">
        <f t="shared" ca="1" si="6"/>
        <v>0.48488583055261736</v>
      </c>
      <c r="C174" s="16">
        <f t="shared" ca="1" si="7"/>
        <v>-3.7894672028257824E-2</v>
      </c>
      <c r="D174" s="16">
        <f t="shared" ca="1" si="8"/>
        <v>41.037467084509444</v>
      </c>
    </row>
    <row r="175" spans="1:4" x14ac:dyDescent="0.3">
      <c r="A175" s="16">
        <v>163</v>
      </c>
      <c r="B175" s="16">
        <f t="shared" ca="1" si="6"/>
        <v>0.41781527905378335</v>
      </c>
      <c r="C175" s="16">
        <f t="shared" ca="1" si="7"/>
        <v>-0.20748570169624914</v>
      </c>
      <c r="D175" s="16">
        <f t="shared" ca="1" si="8"/>
        <v>40.951194154135443</v>
      </c>
    </row>
    <row r="176" spans="1:4" x14ac:dyDescent="0.3">
      <c r="A176" s="16">
        <v>164</v>
      </c>
      <c r="B176" s="16">
        <f t="shared" ca="1" si="6"/>
        <v>0.81849206516223416</v>
      </c>
      <c r="C176" s="16">
        <f t="shared" ca="1" si="7"/>
        <v>0.90963341597725467</v>
      </c>
      <c r="D176" s="16">
        <f t="shared" ca="1" si="8"/>
        <v>41.446648624734074</v>
      </c>
    </row>
    <row r="177" spans="1:4" x14ac:dyDescent="0.3">
      <c r="A177" s="16">
        <v>165</v>
      </c>
      <c r="B177" s="16">
        <f t="shared" ca="1" si="6"/>
        <v>0.13692467038330269</v>
      </c>
      <c r="C177" s="16">
        <f t="shared" ca="1" si="7"/>
        <v>-1.0942408932820764</v>
      </c>
      <c r="D177" s="16">
        <f t="shared" ca="1" si="8"/>
        <v>40.898191756607694</v>
      </c>
    </row>
    <row r="178" spans="1:4" x14ac:dyDescent="0.3">
      <c r="A178" s="16">
        <v>166</v>
      </c>
      <c r="B178" s="16">
        <f t="shared" ca="1" si="6"/>
        <v>0.31346507192836226</v>
      </c>
      <c r="C178" s="16">
        <f t="shared" ca="1" si="7"/>
        <v>-0.48605221744691607</v>
      </c>
      <c r="D178" s="16">
        <f t="shared" ca="1" si="8"/>
        <v>40.668658015717774</v>
      </c>
    </row>
    <row r="179" spans="1:4" x14ac:dyDescent="0.3">
      <c r="A179" s="16">
        <v>167</v>
      </c>
      <c r="B179" s="16">
        <f t="shared" ca="1" si="6"/>
        <v>0.65474676271380061</v>
      </c>
      <c r="C179" s="16">
        <f t="shared" ca="1" si="7"/>
        <v>0.39816783416356816</v>
      </c>
      <c r="D179" s="16">
        <f t="shared" ca="1" si="8"/>
        <v>40.895261126321323</v>
      </c>
    </row>
    <row r="180" spans="1:4" x14ac:dyDescent="0.3">
      <c r="A180" s="16">
        <v>168</v>
      </c>
      <c r="B180" s="16">
        <f t="shared" ca="1" si="6"/>
        <v>0.67472647796545471</v>
      </c>
      <c r="C180" s="16">
        <f t="shared" ca="1" si="7"/>
        <v>0.4530023573166963</v>
      </c>
      <c r="D180" s="16">
        <f t="shared" ca="1" si="8"/>
        <v>41.151660076699351</v>
      </c>
    </row>
    <row r="181" spans="1:4" x14ac:dyDescent="0.3">
      <c r="A181" s="16">
        <v>169</v>
      </c>
      <c r="B181" s="16">
        <f t="shared" ca="1" si="6"/>
        <v>9.6050446648893173E-2</v>
      </c>
      <c r="C181" s="16">
        <f t="shared" ca="1" si="7"/>
        <v>-1.3043892655574787</v>
      </c>
      <c r="D181" s="16">
        <f t="shared" ca="1" si="8"/>
        <v>40.499308676608109</v>
      </c>
    </row>
    <row r="182" spans="1:4" x14ac:dyDescent="0.3">
      <c r="A182" s="16">
        <v>170</v>
      </c>
      <c r="B182" s="16">
        <f t="shared" ca="1" si="6"/>
        <v>0.72259316870153101</v>
      </c>
      <c r="C182" s="16">
        <f t="shared" ca="1" si="7"/>
        <v>0.59056240249388181</v>
      </c>
      <c r="D182" s="16">
        <f t="shared" ca="1" si="8"/>
        <v>40.824197983045671</v>
      </c>
    </row>
    <row r="183" spans="1:4" x14ac:dyDescent="0.3">
      <c r="A183" s="16">
        <v>171</v>
      </c>
      <c r="B183" s="16">
        <f t="shared" ca="1" si="6"/>
        <v>0.75756407089257927</v>
      </c>
      <c r="C183" s="16">
        <f t="shared" ca="1" si="7"/>
        <v>0.69848832254076265</v>
      </c>
      <c r="D183" s="16">
        <f t="shared" ca="1" si="8"/>
        <v>41.207910876775038</v>
      </c>
    </row>
    <row r="184" spans="1:4" x14ac:dyDescent="0.3">
      <c r="A184" s="16">
        <v>172</v>
      </c>
      <c r="B184" s="16">
        <f t="shared" ca="1" si="6"/>
        <v>0.90980334592149603</v>
      </c>
      <c r="C184" s="16">
        <f t="shared" ca="1" si="7"/>
        <v>1.3395450214294493</v>
      </c>
      <c r="D184" s="16">
        <f t="shared" ca="1" si="8"/>
        <v>41.933888831310419</v>
      </c>
    </row>
    <row r="185" spans="1:4" x14ac:dyDescent="0.3">
      <c r="A185" s="16">
        <v>173</v>
      </c>
      <c r="B185" s="16">
        <f t="shared" ca="1" si="6"/>
        <v>0.36309801361225635</v>
      </c>
      <c r="C185" s="16">
        <f t="shared" ca="1" si="7"/>
        <v>-0.35019011171495062</v>
      </c>
      <c r="D185" s="16">
        <f t="shared" ca="1" si="8"/>
        <v>41.770264434285302</v>
      </c>
    </row>
    <row r="186" spans="1:4" x14ac:dyDescent="0.3">
      <c r="A186" s="16">
        <v>174</v>
      </c>
      <c r="B186" s="16">
        <f t="shared" ca="1" si="6"/>
        <v>0.49959631430914442</v>
      </c>
      <c r="C186" s="16">
        <f t="shared" ca="1" si="7"/>
        <v>-1.0118901394452285E-3</v>
      </c>
      <c r="D186" s="16">
        <f t="shared" ca="1" si="8"/>
        <v>41.791455706517546</v>
      </c>
    </row>
    <row r="187" spans="1:4" x14ac:dyDescent="0.3">
      <c r="A187" s="16">
        <v>175</v>
      </c>
      <c r="B187" s="16">
        <f t="shared" ca="1" si="6"/>
        <v>0.51082942753980931</v>
      </c>
      <c r="C187" s="16">
        <f t="shared" ca="1" si="7"/>
        <v>2.714868389494755E-2</v>
      </c>
      <c r="D187" s="16">
        <f t="shared" ca="1" si="8"/>
        <v>41.827554311288281</v>
      </c>
    </row>
    <row r="188" spans="1:4" x14ac:dyDescent="0.3">
      <c r="A188" s="16">
        <v>176</v>
      </c>
      <c r="B188" s="16">
        <f t="shared" ca="1" si="6"/>
        <v>0.34310592117406324</v>
      </c>
      <c r="C188" s="16">
        <f t="shared" ca="1" si="7"/>
        <v>-0.4040011923848133</v>
      </c>
      <c r="D188" s="16">
        <f t="shared" ca="1" si="8"/>
        <v>41.635995127465968</v>
      </c>
    </row>
    <row r="189" spans="1:4" x14ac:dyDescent="0.3">
      <c r="A189" s="16">
        <v>177</v>
      </c>
      <c r="B189" s="16">
        <f t="shared" ca="1" si="6"/>
        <v>0.84507778526352473</v>
      </c>
      <c r="C189" s="16">
        <f t="shared" ca="1" si="7"/>
        <v>1.0155485215329427</v>
      </c>
      <c r="D189" s="16">
        <f t="shared" ca="1" si="8"/>
        <v>42.196228551731572</v>
      </c>
    </row>
    <row r="190" spans="1:4" x14ac:dyDescent="0.3">
      <c r="A190" s="16">
        <v>178</v>
      </c>
      <c r="B190" s="16">
        <f t="shared" ca="1" si="6"/>
        <v>0.43789070131268992</v>
      </c>
      <c r="C190" s="16">
        <f t="shared" ca="1" si="7"/>
        <v>-0.15631922580397814</v>
      </c>
      <c r="D190" s="16">
        <f t="shared" ca="1" si="8"/>
        <v>42.134780807109102</v>
      </c>
    </row>
    <row r="191" spans="1:4" x14ac:dyDescent="0.3">
      <c r="A191" s="16">
        <v>179</v>
      </c>
      <c r="B191" s="16">
        <f t="shared" ca="1" si="6"/>
        <v>0.2331634010873187</v>
      </c>
      <c r="C191" s="16">
        <f t="shared" ca="1" si="7"/>
        <v>-0.72846856914264135</v>
      </c>
      <c r="D191" s="16">
        <f t="shared" ca="1" si="8"/>
        <v>41.770028780175977</v>
      </c>
    </row>
    <row r="192" spans="1:4" x14ac:dyDescent="0.3">
      <c r="A192" s="16">
        <v>180</v>
      </c>
      <c r="B192" s="16">
        <f t="shared" ca="1" si="6"/>
        <v>0.31252214826277236</v>
      </c>
      <c r="C192" s="16">
        <f t="shared" ca="1" si="7"/>
        <v>-0.48871385065160833</v>
      </c>
      <c r="D192" s="16">
        <f t="shared" ca="1" si="8"/>
        <v>41.534203643155038</v>
      </c>
    </row>
    <row r="193" spans="1:4" x14ac:dyDescent="0.3">
      <c r="A193" s="16">
        <v>181</v>
      </c>
      <c r="B193" s="16">
        <f t="shared" ca="1" si="6"/>
        <v>0.27727816145541573</v>
      </c>
      <c r="C193" s="16">
        <f t="shared" ca="1" si="7"/>
        <v>-0.59094641829148709</v>
      </c>
      <c r="D193" s="16">
        <f t="shared" ca="1" si="8"/>
        <v>41.246337680167557</v>
      </c>
    </row>
    <row r="194" spans="1:4" x14ac:dyDescent="0.3">
      <c r="A194" s="16">
        <v>182</v>
      </c>
      <c r="B194" s="16">
        <f t="shared" ca="1" si="6"/>
        <v>0.86886878839181114</v>
      </c>
      <c r="C194" s="16">
        <f t="shared" ca="1" si="7"/>
        <v>1.1210597659703807</v>
      </c>
      <c r="D194" s="16">
        <f t="shared" ca="1" si="8"/>
        <v>41.857154341945972</v>
      </c>
    </row>
    <row r="195" spans="1:4" x14ac:dyDescent="0.3">
      <c r="A195" s="16">
        <v>183</v>
      </c>
      <c r="B195" s="16">
        <f t="shared" ca="1" si="6"/>
        <v>1.1353273198007385E-2</v>
      </c>
      <c r="C195" s="16">
        <f t="shared" ca="1" si="7"/>
        <v>-2.2783363349758416</v>
      </c>
      <c r="D195" s="16">
        <f t="shared" ca="1" si="8"/>
        <v>40.689244961383828</v>
      </c>
    </row>
    <row r="196" spans="1:4" x14ac:dyDescent="0.3">
      <c r="A196" s="16">
        <v>184</v>
      </c>
      <c r="B196" s="16">
        <f t="shared" ca="1" si="6"/>
        <v>0.16515425391522198</v>
      </c>
      <c r="C196" s="16">
        <f t="shared" ca="1" si="7"/>
        <v>-0.97349265724948397</v>
      </c>
      <c r="D196" s="16">
        <f t="shared" ca="1" si="8"/>
        <v>40.212182204696219</v>
      </c>
    </row>
    <row r="197" spans="1:4" x14ac:dyDescent="0.3">
      <c r="A197" s="16">
        <v>185</v>
      </c>
      <c r="B197" s="16">
        <f t="shared" ca="1" si="6"/>
        <v>0.11948759234168793</v>
      </c>
      <c r="C197" s="16">
        <f t="shared" ca="1" si="7"/>
        <v>-1.1775521771951727</v>
      </c>
      <c r="D197" s="16">
        <f t="shared" ca="1" si="8"/>
        <v>39.638267468565978</v>
      </c>
    </row>
    <row r="198" spans="1:4" x14ac:dyDescent="0.3">
      <c r="A198" s="16">
        <v>186</v>
      </c>
      <c r="B198" s="16">
        <f t="shared" ca="1" si="6"/>
        <v>0.90765968629398819</v>
      </c>
      <c r="C198" s="16">
        <f t="shared" ca="1" si="7"/>
        <v>1.3264803870022743</v>
      </c>
      <c r="D198" s="16">
        <f t="shared" ca="1" si="8"/>
        <v>40.32992700895916</v>
      </c>
    </row>
    <row r="199" spans="1:4" x14ac:dyDescent="0.3">
      <c r="A199" s="16">
        <v>187</v>
      </c>
      <c r="B199" s="16">
        <f t="shared" ca="1" si="6"/>
        <v>8.2884997523357984E-2</v>
      </c>
      <c r="C199" s="16">
        <f t="shared" ca="1" si="7"/>
        <v>-1.3859243812713808</v>
      </c>
      <c r="D199" s="16">
        <f t="shared" ca="1" si="8"/>
        <v>39.649688356969733</v>
      </c>
    </row>
    <row r="200" spans="1:4" x14ac:dyDescent="0.3">
      <c r="A200" s="16">
        <v>188</v>
      </c>
      <c r="B200" s="16">
        <f t="shared" ca="1" si="6"/>
        <v>0.53377416258953503</v>
      </c>
      <c r="C200" s="16">
        <f t="shared" ca="1" si="7"/>
        <v>8.4760653579169551E-2</v>
      </c>
      <c r="D200" s="16">
        <f t="shared" ca="1" si="8"/>
        <v>39.712866766089981</v>
      </c>
    </row>
    <row r="201" spans="1:4" x14ac:dyDescent="0.3">
      <c r="A201" s="16">
        <v>189</v>
      </c>
      <c r="B201" s="16">
        <f t="shared" ca="1" si="6"/>
        <v>0.96913299280710186</v>
      </c>
      <c r="C201" s="16">
        <f t="shared" ca="1" si="7"/>
        <v>1.8682013235372934</v>
      </c>
      <c r="D201" s="16">
        <f t="shared" ca="1" si="8"/>
        <v>40.683651159090637</v>
      </c>
    </row>
    <row r="202" spans="1:4" x14ac:dyDescent="0.3">
      <c r="A202" s="16">
        <v>190</v>
      </c>
      <c r="B202" s="16">
        <f t="shared" ca="1" si="6"/>
        <v>0.75329551854291055</v>
      </c>
      <c r="C202" s="16">
        <f t="shared" ca="1" si="7"/>
        <v>0.68489693077307112</v>
      </c>
      <c r="D202" s="16">
        <f t="shared" ca="1" si="8"/>
        <v>41.058983604722506</v>
      </c>
    </row>
    <row r="203" spans="1:4" x14ac:dyDescent="0.3">
      <c r="A203" s="16">
        <v>191</v>
      </c>
      <c r="B203" s="16">
        <f t="shared" ca="1" si="6"/>
        <v>0.56882252537285138</v>
      </c>
      <c r="C203" s="16">
        <f t="shared" ca="1" si="7"/>
        <v>0.17337719517628386</v>
      </c>
      <c r="D203" s="16">
        <f t="shared" ca="1" si="8"/>
        <v>41.170530640398162</v>
      </c>
    </row>
    <row r="204" spans="1:4" x14ac:dyDescent="0.3">
      <c r="A204" s="16">
        <v>192</v>
      </c>
      <c r="B204" s="16">
        <f t="shared" ca="1" si="6"/>
        <v>7.7326432656469657E-2</v>
      </c>
      <c r="C204" s="16">
        <f t="shared" ca="1" si="7"/>
        <v>-1.4232873750218944</v>
      </c>
      <c r="D204" s="16">
        <f t="shared" ca="1" si="8"/>
        <v>40.456988815282301</v>
      </c>
    </row>
    <row r="205" spans="1:4" x14ac:dyDescent="0.3">
      <c r="A205" s="16">
        <v>193</v>
      </c>
      <c r="B205" s="16">
        <f t="shared" ca="1" si="6"/>
        <v>2.064371428031786E-2</v>
      </c>
      <c r="C205" s="16">
        <f t="shared" ca="1" si="7"/>
        <v>-2.0406319037487832</v>
      </c>
      <c r="D205" s="16">
        <f t="shared" ca="1" si="8"/>
        <v>39.446575068350526</v>
      </c>
    </row>
    <row r="206" spans="1:4" x14ac:dyDescent="0.3">
      <c r="A206" s="16">
        <v>194</v>
      </c>
      <c r="B206" s="16">
        <f t="shared" ref="B206:B262" ca="1" si="9">RAND()</f>
        <v>0.86051773053625724</v>
      </c>
      <c r="C206" s="16">
        <f t="shared" ref="C206:C262" ca="1" si="10">_xlfn.NORM.S.INV(B206)</f>
        <v>1.08264834729913</v>
      </c>
      <c r="D206" s="16">
        <f t="shared" ref="D206:D262" ca="1" si="11">D205*EXP(($B$5-0.5*$B$6^2)*$B$7+$B$6*SQRT($B$7)*C206)</f>
        <v>40.011294038690302</v>
      </c>
    </row>
    <row r="207" spans="1:4" x14ac:dyDescent="0.3">
      <c r="A207" s="16">
        <v>195</v>
      </c>
      <c r="B207" s="16">
        <f t="shared" ca="1" si="9"/>
        <v>0.93905583225855505</v>
      </c>
      <c r="C207" s="16">
        <f t="shared" ca="1" si="10"/>
        <v>1.5468959597169638</v>
      </c>
      <c r="D207" s="16">
        <f t="shared" ca="1" si="11"/>
        <v>40.823121461054434</v>
      </c>
    </row>
    <row r="208" spans="1:4" x14ac:dyDescent="0.3">
      <c r="A208" s="16">
        <v>196</v>
      </c>
      <c r="B208" s="16">
        <f t="shared" ca="1" si="9"/>
        <v>3.9452944205773055E-2</v>
      </c>
      <c r="C208" s="16">
        <f t="shared" ca="1" si="10"/>
        <v>-1.757069941639873</v>
      </c>
      <c r="D208" s="16">
        <f t="shared" ca="1" si="11"/>
        <v>39.946587579364689</v>
      </c>
    </row>
    <row r="209" spans="1:4" x14ac:dyDescent="0.3">
      <c r="A209" s="16">
        <v>197</v>
      </c>
      <c r="B209" s="16">
        <f t="shared" ca="1" si="9"/>
        <v>0.83010713973045136</v>
      </c>
      <c r="C209" s="16">
        <f t="shared" ca="1" si="10"/>
        <v>0.95458872630291758</v>
      </c>
      <c r="D209" s="16">
        <f t="shared" ca="1" si="11"/>
        <v>40.45288443811711</v>
      </c>
    </row>
    <row r="210" spans="1:4" x14ac:dyDescent="0.3">
      <c r="A210" s="16">
        <v>198</v>
      </c>
      <c r="B210" s="16">
        <f t="shared" ca="1" si="9"/>
        <v>0.15090458057265133</v>
      </c>
      <c r="C210" s="16">
        <f t="shared" ca="1" si="10"/>
        <v>-1.0325614828298673</v>
      </c>
      <c r="D210" s="16">
        <f t="shared" ca="1" si="11"/>
        <v>39.948733327028322</v>
      </c>
    </row>
    <row r="211" spans="1:4" x14ac:dyDescent="0.3">
      <c r="A211" s="16">
        <v>199</v>
      </c>
      <c r="B211" s="16">
        <f t="shared" ca="1" si="9"/>
        <v>0.30946668042151237</v>
      </c>
      <c r="C211" s="16">
        <f t="shared" ca="1" si="10"/>
        <v>-0.49736261934563364</v>
      </c>
      <c r="D211" s="16">
        <f t="shared" ca="1" si="11"/>
        <v>39.718845407010441</v>
      </c>
    </row>
    <row r="212" spans="1:4" x14ac:dyDescent="0.3">
      <c r="A212" s="16">
        <v>200</v>
      </c>
      <c r="B212" s="16">
        <f t="shared" ca="1" si="9"/>
        <v>0.58269088896200461</v>
      </c>
      <c r="C212" s="16">
        <f t="shared" ca="1" si="10"/>
        <v>0.20878225813829446</v>
      </c>
      <c r="D212" s="16">
        <f t="shared" ca="1" si="11"/>
        <v>39.84459172969796</v>
      </c>
    </row>
    <row r="213" spans="1:4" x14ac:dyDescent="0.3">
      <c r="A213" s="16">
        <v>201</v>
      </c>
      <c r="B213" s="16">
        <f t="shared" ca="1" si="9"/>
        <v>0.13062940546426027</v>
      </c>
      <c r="C213" s="16">
        <f t="shared" ca="1" si="10"/>
        <v>-1.1234208213408501</v>
      </c>
      <c r="D213" s="16">
        <f t="shared" ca="1" si="11"/>
        <v>39.302825268282341</v>
      </c>
    </row>
    <row r="214" spans="1:4" x14ac:dyDescent="0.3">
      <c r="A214" s="16">
        <v>202</v>
      </c>
      <c r="B214" s="16">
        <f t="shared" ca="1" si="9"/>
        <v>0.70556042478329162</v>
      </c>
      <c r="C214" s="16">
        <f t="shared" ca="1" si="10"/>
        <v>0.54046099910133627</v>
      </c>
      <c r="D214" s="16">
        <f t="shared" ca="1" si="11"/>
        <v>39.593016711639784</v>
      </c>
    </row>
    <row r="215" spans="1:4" x14ac:dyDescent="0.3">
      <c r="A215" s="16">
        <v>203</v>
      </c>
      <c r="B215" s="16">
        <f t="shared" ca="1" si="9"/>
        <v>0.66381988839178785</v>
      </c>
      <c r="C215" s="16">
        <f t="shared" ca="1" si="10"/>
        <v>0.42291096389677058</v>
      </c>
      <c r="D215" s="16">
        <f t="shared" ca="1" si="11"/>
        <v>39.826089181706891</v>
      </c>
    </row>
    <row r="216" spans="1:4" x14ac:dyDescent="0.3">
      <c r="A216" s="16">
        <v>204</v>
      </c>
      <c r="B216" s="16">
        <f t="shared" ca="1" si="9"/>
        <v>0.53797226538709575</v>
      </c>
      <c r="C216" s="16">
        <f t="shared" ca="1" si="10"/>
        <v>9.5326531869888459E-2</v>
      </c>
      <c r="D216" s="16">
        <f t="shared" ca="1" si="11"/>
        <v>39.894880223656749</v>
      </c>
    </row>
    <row r="217" spans="1:4" x14ac:dyDescent="0.3">
      <c r="A217" s="16">
        <v>205</v>
      </c>
      <c r="B217" s="16">
        <f t="shared" ca="1" si="9"/>
        <v>0.67140343535181357</v>
      </c>
      <c r="C217" s="16">
        <f t="shared" ca="1" si="10"/>
        <v>0.44379178363967348</v>
      </c>
      <c r="D217" s="16">
        <f t="shared" ca="1" si="11"/>
        <v>40.140330292170141</v>
      </c>
    </row>
    <row r="218" spans="1:4" x14ac:dyDescent="0.3">
      <c r="A218" s="16">
        <v>206</v>
      </c>
      <c r="B218" s="16">
        <f t="shared" ca="1" si="9"/>
        <v>0.45692233826715467</v>
      </c>
      <c r="C218" s="16">
        <f t="shared" ca="1" si="10"/>
        <v>-0.10819037908846577</v>
      </c>
      <c r="D218" s="16">
        <f t="shared" ca="1" si="11"/>
        <v>40.106285183094549</v>
      </c>
    </row>
    <row r="219" spans="1:4" x14ac:dyDescent="0.3">
      <c r="A219" s="16">
        <v>207</v>
      </c>
      <c r="B219" s="16">
        <f t="shared" ca="1" si="9"/>
        <v>0.52785683030667285</v>
      </c>
      <c r="C219" s="16">
        <f t="shared" ca="1" si="10"/>
        <v>6.9883558703103685E-2</v>
      </c>
      <c r="D219" s="16">
        <f t="shared" ca="1" si="11"/>
        <v>40.162632543999266</v>
      </c>
    </row>
    <row r="220" spans="1:4" x14ac:dyDescent="0.3">
      <c r="A220" s="16">
        <v>208</v>
      </c>
      <c r="B220" s="16">
        <f t="shared" ca="1" si="9"/>
        <v>0.23317287606402792</v>
      </c>
      <c r="C220" s="16">
        <f t="shared" ca="1" si="10"/>
        <v>-0.72843760237013067</v>
      </c>
      <c r="D220" s="16">
        <f t="shared" ca="1" si="11"/>
        <v>39.814968589674777</v>
      </c>
    </row>
    <row r="221" spans="1:4" x14ac:dyDescent="0.3">
      <c r="A221" s="16">
        <v>209</v>
      </c>
      <c r="B221" s="16">
        <f t="shared" ca="1" si="9"/>
        <v>0.73466207237572889</v>
      </c>
      <c r="C221" s="16">
        <f t="shared" ca="1" si="10"/>
        <v>0.62697464540106551</v>
      </c>
      <c r="D221" s="16">
        <f t="shared" ca="1" si="11"/>
        <v>40.152857499613447</v>
      </c>
    </row>
    <row r="222" spans="1:4" x14ac:dyDescent="0.3">
      <c r="A222" s="16">
        <v>210</v>
      </c>
      <c r="B222" s="16">
        <f t="shared" ca="1" si="9"/>
        <v>0.65134585919598365</v>
      </c>
      <c r="C222" s="16">
        <f t="shared" ca="1" si="10"/>
        <v>0.38895655932966716</v>
      </c>
      <c r="D222" s="16">
        <f t="shared" ca="1" si="11"/>
        <v>40.371882422276855</v>
      </c>
    </row>
    <row r="223" spans="1:4" x14ac:dyDescent="0.3">
      <c r="A223" s="16">
        <v>211</v>
      </c>
      <c r="B223" s="16">
        <f t="shared" ca="1" si="9"/>
        <v>0.48356438993805462</v>
      </c>
      <c r="C223" s="16">
        <f t="shared" ca="1" si="10"/>
        <v>-4.1209625847697544E-2</v>
      </c>
      <c r="D223" s="16">
        <f t="shared" ca="1" si="11"/>
        <v>40.371831347162129</v>
      </c>
    </row>
    <row r="224" spans="1:4" x14ac:dyDescent="0.3">
      <c r="A224" s="16">
        <v>212</v>
      </c>
      <c r="B224" s="16">
        <f t="shared" ca="1" si="9"/>
        <v>0.95895705561288092</v>
      </c>
      <c r="C224" s="16">
        <f t="shared" ca="1" si="10"/>
        <v>1.7387094169412771</v>
      </c>
      <c r="D224" s="16">
        <f t="shared" ca="1" si="11"/>
        <v>41.291035805107782</v>
      </c>
    </row>
    <row r="225" spans="1:4" x14ac:dyDescent="0.3">
      <c r="A225" s="16">
        <v>213</v>
      </c>
      <c r="B225" s="16">
        <f t="shared" ca="1" si="9"/>
        <v>0.78844278771222631</v>
      </c>
      <c r="C225" s="16">
        <f t="shared" ca="1" si="10"/>
        <v>0.80102974762295898</v>
      </c>
      <c r="D225" s="16">
        <f t="shared" ca="1" si="11"/>
        <v>41.733231904368978</v>
      </c>
    </row>
    <row r="226" spans="1:4" x14ac:dyDescent="0.3">
      <c r="A226" s="16">
        <v>214</v>
      </c>
      <c r="B226" s="16">
        <f t="shared" ca="1" si="9"/>
        <v>0.73301803716986935</v>
      </c>
      <c r="C226" s="16">
        <f t="shared" ca="1" si="10"/>
        <v>0.62196645518261029</v>
      </c>
      <c r="D226" s="16">
        <f t="shared" ca="1" si="11"/>
        <v>42.084733999706636</v>
      </c>
    </row>
    <row r="227" spans="1:4" x14ac:dyDescent="0.3">
      <c r="A227" s="16">
        <v>215</v>
      </c>
      <c r="B227" s="16">
        <f t="shared" ca="1" si="9"/>
        <v>0.96830360703401508</v>
      </c>
      <c r="C227" s="16">
        <f t="shared" ca="1" si="10"/>
        <v>1.8564265315687274</v>
      </c>
      <c r="D227" s="16">
        <f t="shared" ca="1" si="11"/>
        <v>43.107078013987575</v>
      </c>
    </row>
    <row r="228" spans="1:4" x14ac:dyDescent="0.3">
      <c r="A228" s="16">
        <v>216</v>
      </c>
      <c r="B228" s="16">
        <f t="shared" ca="1" si="9"/>
        <v>0.85267686091169015</v>
      </c>
      <c r="C228" s="16">
        <f t="shared" ca="1" si="10"/>
        <v>1.047983349836223</v>
      </c>
      <c r="D228" s="16">
        <f t="shared" ca="1" si="11"/>
        <v>43.70503286609101</v>
      </c>
    </row>
    <row r="229" spans="1:4" x14ac:dyDescent="0.3">
      <c r="A229" s="16">
        <v>217</v>
      </c>
      <c r="B229" s="16">
        <f t="shared" ca="1" si="9"/>
        <v>0.26979388733287113</v>
      </c>
      <c r="C229" s="16">
        <f t="shared" ca="1" si="10"/>
        <v>-0.6134364746152251</v>
      </c>
      <c r="D229" s="16">
        <f t="shared" ca="1" si="11"/>
        <v>43.389776037968559</v>
      </c>
    </row>
    <row r="230" spans="1:4" x14ac:dyDescent="0.3">
      <c r="A230" s="16">
        <v>218</v>
      </c>
      <c r="B230" s="16">
        <f t="shared" ca="1" si="9"/>
        <v>0.49153436002783479</v>
      </c>
      <c r="C230" s="16">
        <f t="shared" ca="1" si="10"/>
        <v>-2.1221805335941882E-2</v>
      </c>
      <c r="D230" s="16">
        <f t="shared" ca="1" si="11"/>
        <v>43.400692674827106</v>
      </c>
    </row>
    <row r="231" spans="1:4" x14ac:dyDescent="0.3">
      <c r="A231" s="16">
        <v>219</v>
      </c>
      <c r="B231" s="16">
        <f t="shared" ca="1" si="9"/>
        <v>0.75543818076544034</v>
      </c>
      <c r="C231" s="16">
        <f t="shared" ca="1" si="10"/>
        <v>0.69170335685572493</v>
      </c>
      <c r="D231" s="16">
        <f t="shared" ca="1" si="11"/>
        <v>43.804862776739149</v>
      </c>
    </row>
    <row r="232" spans="1:4" x14ac:dyDescent="0.3">
      <c r="A232" s="16">
        <v>220</v>
      </c>
      <c r="B232" s="16">
        <f t="shared" ca="1" si="9"/>
        <v>0.94458611579876051</v>
      </c>
      <c r="C232" s="16">
        <f t="shared" ca="1" si="10"/>
        <v>1.5944835673382789</v>
      </c>
      <c r="D232" s="16">
        <f t="shared" ca="1" si="11"/>
        <v>44.720572586516624</v>
      </c>
    </row>
    <row r="233" spans="1:4" x14ac:dyDescent="0.3">
      <c r="A233" s="16">
        <v>221</v>
      </c>
      <c r="B233" s="16">
        <f t="shared" ca="1" si="9"/>
        <v>0.63587681088013359</v>
      </c>
      <c r="C233" s="16">
        <f t="shared" ca="1" si="10"/>
        <v>0.3474591824313063</v>
      </c>
      <c r="D233" s="16">
        <f t="shared" ca="1" si="11"/>
        <v>44.94091748024416</v>
      </c>
    </row>
    <row r="234" spans="1:4" x14ac:dyDescent="0.3">
      <c r="A234" s="16">
        <v>222</v>
      </c>
      <c r="B234" s="16">
        <f t="shared" ca="1" si="9"/>
        <v>0.89100141582041026</v>
      </c>
      <c r="C234" s="16">
        <f t="shared" ca="1" si="10"/>
        <v>1.231871287850135</v>
      </c>
      <c r="D234" s="16">
        <f t="shared" ca="1" si="11"/>
        <v>45.67041702553103</v>
      </c>
    </row>
    <row r="235" spans="1:4" x14ac:dyDescent="0.3">
      <c r="A235" s="16">
        <v>223</v>
      </c>
      <c r="B235" s="16">
        <f t="shared" ca="1" si="9"/>
        <v>0.37117468277126597</v>
      </c>
      <c r="C235" s="16">
        <f t="shared" ca="1" si="10"/>
        <v>-0.32874377289911899</v>
      </c>
      <c r="D235" s="16">
        <f t="shared" ca="1" si="11"/>
        <v>45.504555511582623</v>
      </c>
    </row>
    <row r="236" spans="1:4" x14ac:dyDescent="0.3">
      <c r="A236" s="16">
        <v>224</v>
      </c>
      <c r="B236" s="16">
        <f t="shared" ca="1" si="9"/>
        <v>0.4392273134291893</v>
      </c>
      <c r="C236" s="16">
        <f t="shared" ca="1" si="10"/>
        <v>-0.15292854267254172</v>
      </c>
      <c r="D236" s="16">
        <f t="shared" ca="1" si="11"/>
        <v>45.440238906404844</v>
      </c>
    </row>
    <row r="237" spans="1:4" x14ac:dyDescent="0.3">
      <c r="A237" s="16">
        <v>225</v>
      </c>
      <c r="B237" s="16">
        <f t="shared" ca="1" si="9"/>
        <v>0.51948621680548235</v>
      </c>
      <c r="C237" s="16">
        <f t="shared" ca="1" si="10"/>
        <v>4.8864140566883769E-2</v>
      </c>
      <c r="D237" s="16">
        <f t="shared" ca="1" si="11"/>
        <v>45.491983332672049</v>
      </c>
    </row>
    <row r="238" spans="1:4" x14ac:dyDescent="0.3">
      <c r="A238" s="16">
        <v>226</v>
      </c>
      <c r="B238" s="16">
        <f t="shared" ca="1" si="9"/>
        <v>0.23935400966170972</v>
      </c>
      <c r="C238" s="16">
        <f t="shared" ca="1" si="10"/>
        <v>-0.7083820773767272</v>
      </c>
      <c r="D238" s="16">
        <f t="shared" ca="1" si="11"/>
        <v>45.109628531952453</v>
      </c>
    </row>
    <row r="239" spans="1:4" x14ac:dyDescent="0.3">
      <c r="A239" s="16">
        <v>227</v>
      </c>
      <c r="B239" s="16">
        <f t="shared" ca="1" si="9"/>
        <v>9.387178217250236E-2</v>
      </c>
      <c r="C239" s="16">
        <f t="shared" ca="1" si="10"/>
        <v>-1.3172836477656304</v>
      </c>
      <c r="D239" s="16">
        <f t="shared" ca="1" si="11"/>
        <v>44.387293678291641</v>
      </c>
    </row>
    <row r="240" spans="1:4" x14ac:dyDescent="0.3">
      <c r="A240" s="16">
        <v>228</v>
      </c>
      <c r="B240" s="16">
        <f t="shared" ca="1" si="9"/>
        <v>0.84981145515532397</v>
      </c>
      <c r="C240" s="16">
        <f t="shared" ca="1" si="10"/>
        <v>1.0356250737962396</v>
      </c>
      <c r="D240" s="16">
        <f t="shared" ca="1" si="11"/>
        <v>44.995972519807921</v>
      </c>
    </row>
    <row r="241" spans="1:4" x14ac:dyDescent="0.3">
      <c r="A241" s="16">
        <v>229</v>
      </c>
      <c r="B241" s="16">
        <f t="shared" ca="1" si="9"/>
        <v>0.66412108087938559</v>
      </c>
      <c r="C241" s="16">
        <f t="shared" ca="1" si="10"/>
        <v>0.42373671190024154</v>
      </c>
      <c r="D241" s="16">
        <f t="shared" ca="1" si="11"/>
        <v>45.261323356170159</v>
      </c>
    </row>
    <row r="242" spans="1:4" x14ac:dyDescent="0.3">
      <c r="A242" s="16">
        <v>230</v>
      </c>
      <c r="B242" s="16">
        <f t="shared" ca="1" si="9"/>
        <v>0.47715772606918583</v>
      </c>
      <c r="C242" s="16">
        <f t="shared" ca="1" si="10"/>
        <v>-5.7288410668921243E-2</v>
      </c>
      <c r="D242" s="16">
        <f t="shared" ca="1" si="11"/>
        <v>45.252061689709443</v>
      </c>
    </row>
    <row r="243" spans="1:4" x14ac:dyDescent="0.3">
      <c r="A243" s="16">
        <v>231</v>
      </c>
      <c r="B243" s="16">
        <f t="shared" ca="1" si="9"/>
        <v>0.1439137184049456</v>
      </c>
      <c r="C243" s="16">
        <f t="shared" ca="1" si="10"/>
        <v>-1.0628997050305393</v>
      </c>
      <c r="D243" s="16">
        <f t="shared" ca="1" si="11"/>
        <v>44.670954160436018</v>
      </c>
    </row>
    <row r="244" spans="1:4" x14ac:dyDescent="0.3">
      <c r="A244" s="16">
        <v>232</v>
      </c>
      <c r="B244" s="16">
        <f t="shared" ca="1" si="9"/>
        <v>0.40164019672620421</v>
      </c>
      <c r="C244" s="16">
        <f t="shared" ca="1" si="10"/>
        <v>-0.24910392497304112</v>
      </c>
      <c r="D244" s="16">
        <f t="shared" ca="1" si="11"/>
        <v>44.553581889046505</v>
      </c>
    </row>
    <row r="245" spans="1:4" x14ac:dyDescent="0.3">
      <c r="A245" s="16">
        <v>233</v>
      </c>
      <c r="B245" s="16">
        <f t="shared" ca="1" si="9"/>
        <v>0.14128693965040684</v>
      </c>
      <c r="C245" s="16">
        <f t="shared" ca="1" si="10"/>
        <v>-1.0745552874909898</v>
      </c>
      <c r="D245" s="16">
        <f t="shared" ca="1" si="11"/>
        <v>43.974960109857435</v>
      </c>
    </row>
    <row r="246" spans="1:4" x14ac:dyDescent="0.3">
      <c r="A246" s="16">
        <v>234</v>
      </c>
      <c r="B246" s="16">
        <f t="shared" ca="1" si="9"/>
        <v>0.71633915426928962</v>
      </c>
      <c r="C246" s="16">
        <f t="shared" ca="1" si="10"/>
        <v>0.57200041801086188</v>
      </c>
      <c r="D246" s="16">
        <f t="shared" ca="1" si="11"/>
        <v>44.317324821325059</v>
      </c>
    </row>
    <row r="247" spans="1:4" x14ac:dyDescent="0.3">
      <c r="A247" s="16">
        <v>235</v>
      </c>
      <c r="B247" s="16">
        <f t="shared" ca="1" si="9"/>
        <v>0.37429492337116832</v>
      </c>
      <c r="C247" s="16">
        <f t="shared" ca="1" si="10"/>
        <v>-0.32049931870771209</v>
      </c>
      <c r="D247" s="16">
        <f t="shared" ca="1" si="11"/>
        <v>44.160982428562889</v>
      </c>
    </row>
    <row r="248" spans="1:4" x14ac:dyDescent="0.3">
      <c r="A248" s="16">
        <v>236</v>
      </c>
      <c r="B248" s="16">
        <f t="shared" ca="1" si="9"/>
        <v>0.75851120289545237</v>
      </c>
      <c r="C248" s="16">
        <f t="shared" ca="1" si="10"/>
        <v>0.70152154440831638</v>
      </c>
      <c r="D248" s="16">
        <f t="shared" ca="1" si="11"/>
        <v>44.577768578060805</v>
      </c>
    </row>
    <row r="249" spans="1:4" x14ac:dyDescent="0.3">
      <c r="A249" s="16">
        <v>237</v>
      </c>
      <c r="B249" s="16">
        <f t="shared" ca="1" si="9"/>
        <v>0.95776556821138359</v>
      </c>
      <c r="C249" s="16">
        <f t="shared" ca="1" si="10"/>
        <v>1.7253253077499193</v>
      </c>
      <c r="D249" s="16">
        <f t="shared" ca="1" si="11"/>
        <v>45.585017689219285</v>
      </c>
    </row>
    <row r="250" spans="1:4" x14ac:dyDescent="0.3">
      <c r="A250" s="16">
        <v>238</v>
      </c>
      <c r="B250" s="16">
        <f t="shared" ca="1" si="9"/>
        <v>0.43202203299028219</v>
      </c>
      <c r="C250" s="16">
        <f t="shared" ca="1" si="10"/>
        <v>-0.17122854155429781</v>
      </c>
      <c r="D250" s="16">
        <f t="shared" ca="1" si="11"/>
        <v>45.51005153056537</v>
      </c>
    </row>
    <row r="251" spans="1:4" x14ac:dyDescent="0.3">
      <c r="A251" s="16">
        <v>239</v>
      </c>
      <c r="B251" s="16">
        <f t="shared" ca="1" si="9"/>
        <v>0.23375360561938929</v>
      </c>
      <c r="C251" s="16">
        <f t="shared" ca="1" si="10"/>
        <v>-0.72654095304445931</v>
      </c>
      <c r="D251" s="16">
        <f t="shared" ca="1" si="11"/>
        <v>45.11718054963174</v>
      </c>
    </row>
    <row r="252" spans="1:4" x14ac:dyDescent="0.3">
      <c r="A252" s="16">
        <v>240</v>
      </c>
      <c r="B252" s="16">
        <f t="shared" ca="1" si="9"/>
        <v>0.74903390541094717</v>
      </c>
      <c r="C252" s="16">
        <f t="shared" ca="1" si="10"/>
        <v>0.67145268897770038</v>
      </c>
      <c r="D252" s="16">
        <f t="shared" ca="1" si="11"/>
        <v>45.525672461938917</v>
      </c>
    </row>
    <row r="253" spans="1:4" x14ac:dyDescent="0.3">
      <c r="A253" s="16">
        <v>241</v>
      </c>
      <c r="B253" s="16">
        <f t="shared" ca="1" si="9"/>
        <v>0.80890575761323624</v>
      </c>
      <c r="C253" s="16">
        <f t="shared" ca="1" si="10"/>
        <v>0.87387104500723134</v>
      </c>
      <c r="D253" s="16">
        <f t="shared" ca="1" si="11"/>
        <v>46.055633438633926</v>
      </c>
    </row>
    <row r="254" spans="1:4" x14ac:dyDescent="0.3">
      <c r="A254" s="16">
        <v>242</v>
      </c>
      <c r="B254" s="16">
        <f t="shared" ca="1" si="9"/>
        <v>0.99115537407896936</v>
      </c>
      <c r="C254" s="16">
        <f t="shared" ca="1" si="10"/>
        <v>2.3720592911873584</v>
      </c>
      <c r="D254" s="16">
        <f t="shared" ca="1" si="11"/>
        <v>47.483131835880975</v>
      </c>
    </row>
    <row r="255" spans="1:4" x14ac:dyDescent="0.3">
      <c r="A255" s="16">
        <v>243</v>
      </c>
      <c r="B255" s="16">
        <f t="shared" ca="1" si="9"/>
        <v>0.46882120772396307</v>
      </c>
      <c r="C255" s="16">
        <f t="shared" ca="1" si="10"/>
        <v>-7.8233373122898284E-2</v>
      </c>
      <c r="D255" s="16">
        <f t="shared" ca="1" si="11"/>
        <v>47.460839818118416</v>
      </c>
    </row>
    <row r="256" spans="1:4" x14ac:dyDescent="0.3">
      <c r="A256" s="16">
        <v>244</v>
      </c>
      <c r="B256" s="16">
        <f t="shared" ca="1" si="9"/>
        <v>0.67276555911719738</v>
      </c>
      <c r="C256" s="16">
        <f t="shared" ca="1" si="10"/>
        <v>0.44756262506823802</v>
      </c>
      <c r="D256" s="16">
        <f t="shared" ca="1" si="11"/>
        <v>47.755116608788782</v>
      </c>
    </row>
    <row r="257" spans="1:4" x14ac:dyDescent="0.3">
      <c r="A257" s="16">
        <v>245</v>
      </c>
      <c r="B257" s="16">
        <f t="shared" ca="1" si="9"/>
        <v>0.87679832765175014</v>
      </c>
      <c r="C257" s="16">
        <f t="shared" ca="1" si="10"/>
        <v>1.1591296426820976</v>
      </c>
      <c r="D257" s="16">
        <f t="shared" ca="1" si="11"/>
        <v>48.485664376934338</v>
      </c>
    </row>
    <row r="258" spans="1:4" x14ac:dyDescent="0.3">
      <c r="A258" s="16">
        <v>246</v>
      </c>
      <c r="B258" s="16">
        <f t="shared" ca="1" si="9"/>
        <v>0.90439620137476739</v>
      </c>
      <c r="C258" s="16">
        <f t="shared" ca="1" si="10"/>
        <v>1.3070150586611182</v>
      </c>
      <c r="D258" s="16">
        <f t="shared" ca="1" si="11"/>
        <v>49.319559780717817</v>
      </c>
    </row>
    <row r="259" spans="1:4" x14ac:dyDescent="0.3">
      <c r="A259" s="16">
        <v>247</v>
      </c>
      <c r="B259" s="16">
        <f t="shared" ca="1" si="9"/>
        <v>9.8726353932453437E-3</v>
      </c>
      <c r="C259" s="16">
        <f t="shared" ca="1" si="10"/>
        <v>-2.3311534297604126</v>
      </c>
      <c r="D259" s="16">
        <f t="shared" ca="1" si="11"/>
        <v>47.91141259598983</v>
      </c>
    </row>
    <row r="260" spans="1:4" x14ac:dyDescent="0.3">
      <c r="A260" s="16">
        <v>248</v>
      </c>
      <c r="B260" s="16">
        <f t="shared" ca="1" si="9"/>
        <v>0.54512940655899778</v>
      </c>
      <c r="C260" s="16">
        <f t="shared" ca="1" si="10"/>
        <v>0.11336499982737465</v>
      </c>
      <c r="D260" s="16">
        <f t="shared" ca="1" si="11"/>
        <v>48.005121409728304</v>
      </c>
    </row>
    <row r="261" spans="1:4" x14ac:dyDescent="0.3">
      <c r="A261" s="16">
        <v>249</v>
      </c>
      <c r="B261" s="16">
        <f t="shared" ca="1" si="9"/>
        <v>0.2575080549944615</v>
      </c>
      <c r="C261" s="16">
        <f t="shared" ca="1" si="10"/>
        <v>-0.65104705840753352</v>
      </c>
      <c r="D261" s="16">
        <f t="shared" ca="1" si="11"/>
        <v>47.636178972239378</v>
      </c>
    </row>
    <row r="262" spans="1:4" x14ac:dyDescent="0.3">
      <c r="A262" s="16">
        <v>250</v>
      </c>
      <c r="B262" s="16">
        <f t="shared" ca="1" si="9"/>
        <v>0.36904905271075616</v>
      </c>
      <c r="C262" s="16">
        <f t="shared" ca="1" si="10"/>
        <v>-0.33437300730927955</v>
      </c>
      <c r="D262" s="16">
        <f t="shared" ca="1" si="11"/>
        <v>47.459798903192677</v>
      </c>
    </row>
  </sheetData>
  <mergeCells count="3">
    <mergeCell ref="A1:M1"/>
    <mergeCell ref="A2:N2"/>
    <mergeCell ref="A9:F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7B63F-E677-40BB-908E-46CC72A35E9D}">
  <dimension ref="A1:I25"/>
  <sheetViews>
    <sheetView workbookViewId="0">
      <selection activeCell="I21" sqref="I21"/>
    </sheetView>
  </sheetViews>
  <sheetFormatPr defaultRowHeight="14.4" x14ac:dyDescent="0.3"/>
  <cols>
    <col min="1" max="1" width="8.88671875" style="16"/>
    <col min="2" max="3" width="13.109375" style="16" customWidth="1"/>
    <col min="4" max="4" width="15.44140625" style="16" customWidth="1"/>
    <col min="5" max="5" width="12.109375" style="16" customWidth="1"/>
    <col min="6" max="6" width="8.88671875" style="16"/>
    <col min="7" max="7" width="14.44140625" style="16" customWidth="1"/>
    <col min="8" max="8" width="14" style="16" customWidth="1"/>
    <col min="9" max="9" width="27.88671875" style="16" customWidth="1"/>
    <col min="10" max="16384" width="8.88671875" style="16"/>
  </cols>
  <sheetData>
    <row r="1" spans="1:9" x14ac:dyDescent="0.3">
      <c r="B1" s="18" t="s">
        <v>136</v>
      </c>
      <c r="C1" s="18"/>
      <c r="D1" s="18"/>
      <c r="E1" s="18"/>
      <c r="F1" s="19"/>
      <c r="G1" s="19"/>
      <c r="H1" s="19"/>
    </row>
    <row r="3" spans="1:9" ht="28.8" x14ac:dyDescent="0.3">
      <c r="A3" s="14" t="s">
        <v>132</v>
      </c>
      <c r="B3" s="20" t="s">
        <v>137</v>
      </c>
      <c r="C3" s="21" t="s">
        <v>138</v>
      </c>
      <c r="D3" s="21" t="s">
        <v>139</v>
      </c>
      <c r="E3" s="14" t="s">
        <v>140</v>
      </c>
      <c r="F3" s="14"/>
      <c r="G3" s="21" t="s">
        <v>141</v>
      </c>
      <c r="H3" s="21" t="s">
        <v>129</v>
      </c>
    </row>
    <row r="4" spans="1:9" x14ac:dyDescent="0.3">
      <c r="A4" s="16">
        <v>0</v>
      </c>
      <c r="B4" s="16">
        <v>23361.05</v>
      </c>
    </row>
    <row r="5" spans="1:9" x14ac:dyDescent="0.3">
      <c r="A5" s="16">
        <v>1</v>
      </c>
      <c r="B5" s="16">
        <v>23739.25</v>
      </c>
      <c r="C5" s="16">
        <f>B5/B4</f>
        <v>1.0161893408044587</v>
      </c>
      <c r="D5" s="16">
        <f>LOG(C5,EXP(1))</f>
        <v>1.6059690853104273E-2</v>
      </c>
      <c r="E5" s="16">
        <f>D5^2</f>
        <v>2.5791367029728103E-4</v>
      </c>
      <c r="G5" s="16">
        <f>SQRT(E24/17 - D25/(18*17))</f>
        <v>7.1581823133405695E-3</v>
      </c>
      <c r="H5" s="16">
        <f>G5*SQRT(252)</f>
        <v>0.11363262144216106</v>
      </c>
      <c r="I5" s="22" t="s">
        <v>142</v>
      </c>
    </row>
    <row r="6" spans="1:9" x14ac:dyDescent="0.3">
      <c r="A6" s="16">
        <v>2</v>
      </c>
      <c r="B6" s="16">
        <v>23696.3</v>
      </c>
      <c r="C6" s="16">
        <f t="shared" ref="C6:C22" si="0">B6/B5</f>
        <v>0.99819076002822327</v>
      </c>
      <c r="D6" s="16">
        <f t="shared" ref="D6:D22" si="1">LOG(C6,EXP(1))</f>
        <v>-1.8108786231885072E-3</v>
      </c>
      <c r="E6" s="16">
        <f t="shared" ref="E6:E22" si="2">D6^2</f>
        <v>3.2792813879211035E-6</v>
      </c>
    </row>
    <row r="7" spans="1:9" x14ac:dyDescent="0.3">
      <c r="A7" s="16">
        <v>3</v>
      </c>
      <c r="B7" s="16">
        <v>23603.35</v>
      </c>
      <c r="C7" s="16">
        <f t="shared" si="0"/>
        <v>0.99607744668998954</v>
      </c>
      <c r="D7" s="16">
        <f t="shared" si="1"/>
        <v>-3.9302666996406553E-3</v>
      </c>
      <c r="E7" s="16">
        <f t="shared" si="2"/>
        <v>1.5446996330304247E-5</v>
      </c>
    </row>
    <row r="8" spans="1:9" x14ac:dyDescent="0.3">
      <c r="A8" s="16">
        <v>4</v>
      </c>
      <c r="B8" s="16">
        <v>23559.95</v>
      </c>
      <c r="C8" s="16">
        <f t="shared" si="0"/>
        <v>0.99816127795418885</v>
      </c>
      <c r="D8" s="16">
        <f t="shared" si="1"/>
        <v>-1.8404145702315485E-3</v>
      </c>
      <c r="E8" s="16">
        <f t="shared" si="2"/>
        <v>3.3871257903205752E-6</v>
      </c>
    </row>
    <row r="9" spans="1:9" x14ac:dyDescent="0.3">
      <c r="A9" s="16">
        <v>5</v>
      </c>
      <c r="B9" s="16">
        <v>23381.599999999999</v>
      </c>
      <c r="C9" s="16">
        <f t="shared" si="0"/>
        <v>0.99242994997867129</v>
      </c>
      <c r="D9" s="16">
        <f t="shared" si="1"/>
        <v>-7.598848278210316E-3</v>
      </c>
      <c r="E9" s="16">
        <f t="shared" si="2"/>
        <v>5.7742495155259883E-5</v>
      </c>
    </row>
    <row r="10" spans="1:9" x14ac:dyDescent="0.3">
      <c r="A10" s="16">
        <v>6</v>
      </c>
      <c r="B10" s="16">
        <v>23071.8</v>
      </c>
      <c r="C10" s="16">
        <f t="shared" si="0"/>
        <v>0.98675026516577136</v>
      </c>
      <c r="D10" s="16">
        <f t="shared" si="1"/>
        <v>-1.3338295712820561E-2</v>
      </c>
      <c r="E10" s="16">
        <f t="shared" si="2"/>
        <v>1.7791013252264735E-4</v>
      </c>
    </row>
    <row r="11" spans="1:9" x14ac:dyDescent="0.3">
      <c r="A11" s="16">
        <v>7</v>
      </c>
      <c r="B11" s="16">
        <v>23045.25</v>
      </c>
      <c r="C11" s="16">
        <f t="shared" si="0"/>
        <v>0.99884924453228618</v>
      </c>
      <c r="D11" s="16">
        <f t="shared" si="1"/>
        <v>-1.1514180951839536E-3</v>
      </c>
      <c r="E11" s="16">
        <f t="shared" si="2"/>
        <v>1.325763629917044E-6</v>
      </c>
    </row>
    <row r="12" spans="1:9" x14ac:dyDescent="0.3">
      <c r="A12" s="16">
        <v>8</v>
      </c>
      <c r="B12" s="16">
        <v>23031.4</v>
      </c>
      <c r="C12" s="16">
        <f t="shared" si="0"/>
        <v>0.99939900847246188</v>
      </c>
      <c r="D12" s="16">
        <f t="shared" si="1"/>
        <v>-6.0117219533637628E-4</v>
      </c>
      <c r="E12" s="16">
        <f t="shared" si="2"/>
        <v>3.6140800844555816E-7</v>
      </c>
    </row>
    <row r="13" spans="1:9" x14ac:dyDescent="0.3">
      <c r="A13" s="16">
        <v>9</v>
      </c>
      <c r="B13" s="16">
        <v>22929.25</v>
      </c>
      <c r="C13" s="16">
        <f t="shared" si="0"/>
        <v>0.99556475073160977</v>
      </c>
      <c r="D13" s="16">
        <f t="shared" si="1"/>
        <v>-4.4451141660866375E-3</v>
      </c>
      <c r="E13" s="16">
        <f t="shared" si="2"/>
        <v>1.9759039949544102E-5</v>
      </c>
    </row>
    <row r="14" spans="1:9" x14ac:dyDescent="0.3">
      <c r="A14" s="16">
        <v>10</v>
      </c>
      <c r="B14" s="16">
        <v>22959.5</v>
      </c>
      <c r="C14" s="16">
        <f t="shared" si="0"/>
        <v>1.0013192755977627</v>
      </c>
      <c r="D14" s="16">
        <f t="shared" si="1"/>
        <v>1.318406118349223E-3</v>
      </c>
      <c r="E14" s="16">
        <f t="shared" si="2"/>
        <v>1.7381946929006655E-6</v>
      </c>
    </row>
    <row r="15" spans="1:9" x14ac:dyDescent="0.3">
      <c r="A15" s="16">
        <v>11</v>
      </c>
      <c r="B15" s="16">
        <v>22945.3</v>
      </c>
      <c r="C15" s="16">
        <f t="shared" si="0"/>
        <v>0.99938151963239619</v>
      </c>
      <c r="D15" s="16">
        <f t="shared" si="1"/>
        <v>-6.1867170548291742E-4</v>
      </c>
      <c r="E15" s="16">
        <f t="shared" si="2"/>
        <v>3.8275467916514171E-7</v>
      </c>
    </row>
    <row r="16" spans="1:9" x14ac:dyDescent="0.3">
      <c r="A16" s="16">
        <v>12</v>
      </c>
      <c r="B16" s="16">
        <v>22932.9</v>
      </c>
      <c r="C16" s="16">
        <f t="shared" si="0"/>
        <v>0.99945958431574233</v>
      </c>
      <c r="D16" s="16">
        <f t="shared" si="1"/>
        <v>-5.4056176144420191E-4</v>
      </c>
      <c r="E16" s="16">
        <f t="shared" si="2"/>
        <v>2.9220701793565824E-7</v>
      </c>
    </row>
    <row r="17" spans="1:5" x14ac:dyDescent="0.3">
      <c r="A17" s="16">
        <v>13</v>
      </c>
      <c r="B17" s="16">
        <v>22913.15</v>
      </c>
      <c r="C17" s="16">
        <f t="shared" si="0"/>
        <v>0.99913879186670673</v>
      </c>
      <c r="D17" s="16">
        <f t="shared" si="1"/>
        <v>-8.615791860687675E-4</v>
      </c>
      <c r="E17" s="16">
        <f t="shared" si="2"/>
        <v>7.4231869386691992E-7</v>
      </c>
    </row>
    <row r="18" spans="1:5" x14ac:dyDescent="0.3">
      <c r="A18" s="16">
        <v>14</v>
      </c>
      <c r="B18" s="16">
        <v>22795.9</v>
      </c>
      <c r="C18" s="16">
        <f t="shared" si="0"/>
        <v>0.99488285111387997</v>
      </c>
      <c r="D18" s="16">
        <f t="shared" si="1"/>
        <v>-5.1302863291465021E-3</v>
      </c>
      <c r="E18" s="16">
        <f t="shared" si="2"/>
        <v>2.6319837819027493E-5</v>
      </c>
    </row>
    <row r="19" spans="1:5" x14ac:dyDescent="0.3">
      <c r="A19" s="16">
        <v>15</v>
      </c>
      <c r="B19" s="16">
        <v>22553.35</v>
      </c>
      <c r="C19" s="16">
        <f t="shared" si="0"/>
        <v>0.98935992875911882</v>
      </c>
      <c r="D19" s="16">
        <f t="shared" si="1"/>
        <v>-1.069708155537406E-2</v>
      </c>
      <c r="E19" s="16">
        <f t="shared" si="2"/>
        <v>1.1442755380232391E-4</v>
      </c>
    </row>
    <row r="20" spans="1:5" x14ac:dyDescent="0.3">
      <c r="A20" s="16">
        <v>16</v>
      </c>
      <c r="B20" s="16">
        <v>22547.55</v>
      </c>
      <c r="C20" s="16">
        <f t="shared" si="0"/>
        <v>0.99974283199613367</v>
      </c>
      <c r="D20" s="16">
        <f t="shared" si="1"/>
        <v>-2.5720107722782741E-4</v>
      </c>
      <c r="E20" s="16">
        <f t="shared" si="2"/>
        <v>6.6152394127154835E-8</v>
      </c>
    </row>
    <row r="21" spans="1:5" x14ac:dyDescent="0.3">
      <c r="A21" s="16">
        <v>17</v>
      </c>
      <c r="B21" s="16">
        <v>22545.05</v>
      </c>
      <c r="C21" s="16">
        <f t="shared" si="0"/>
        <v>0.9998891232085082</v>
      </c>
      <c r="D21" s="16">
        <f t="shared" si="1"/>
        <v>-1.108829387776427E-4</v>
      </c>
      <c r="E21" s="16">
        <f t="shared" si="2"/>
        <v>1.2295026111966458E-8</v>
      </c>
    </row>
    <row r="22" spans="1:5" x14ac:dyDescent="0.3">
      <c r="A22" s="16">
        <v>18</v>
      </c>
      <c r="B22" s="16">
        <v>22124.7</v>
      </c>
      <c r="C22" s="16">
        <f t="shared" si="0"/>
        <v>0.98135510899288325</v>
      </c>
      <c r="D22" s="16">
        <f t="shared" si="1"/>
        <v>-1.8820898177206152E-2</v>
      </c>
      <c r="E22" s="16">
        <f t="shared" si="2"/>
        <v>3.5422620819676183E-4</v>
      </c>
    </row>
    <row r="24" spans="1:5" x14ac:dyDescent="0.3">
      <c r="D24" s="16">
        <f>SUM(D5:D22)</f>
        <v>-5.4375474099973134E-2</v>
      </c>
      <c r="E24" s="16">
        <f>SUM(E5:E22)</f>
        <v>1.0353334353938614E-3</v>
      </c>
    </row>
    <row r="25" spans="1:5" x14ac:dyDescent="0.3">
      <c r="D25" s="16">
        <f>D24^2</f>
        <v>2.956692183596849E-3</v>
      </c>
    </row>
  </sheetData>
  <mergeCells count="1">
    <mergeCell ref="B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CBD5-4416-4EC9-8864-E20D28871DAB}">
  <dimension ref="A2:J261"/>
  <sheetViews>
    <sheetView workbookViewId="0">
      <selection activeCell="M23" sqref="M23"/>
    </sheetView>
  </sheetViews>
  <sheetFormatPr defaultRowHeight="14.4" x14ac:dyDescent="0.3"/>
  <cols>
    <col min="1" max="16384" width="8.88671875" style="16"/>
  </cols>
  <sheetData>
    <row r="2" spans="1:10" x14ac:dyDescent="0.3">
      <c r="A2" s="16" t="s">
        <v>143</v>
      </c>
    </row>
    <row r="3" spans="1:10" x14ac:dyDescent="0.3">
      <c r="E3" s="16" t="s">
        <v>144</v>
      </c>
    </row>
    <row r="4" spans="1:10" x14ac:dyDescent="0.3">
      <c r="A4" s="16" t="s">
        <v>145</v>
      </c>
      <c r="C4" s="16">
        <v>35</v>
      </c>
    </row>
    <row r="5" spans="1:10" x14ac:dyDescent="0.3">
      <c r="A5" s="16" t="s">
        <v>146</v>
      </c>
      <c r="D5" s="2">
        <v>0.15</v>
      </c>
    </row>
    <row r="6" spans="1:10" x14ac:dyDescent="0.3">
      <c r="A6" s="16" t="s">
        <v>147</v>
      </c>
      <c r="B6" s="2">
        <v>0.2</v>
      </c>
    </row>
    <row r="7" spans="1:10" x14ac:dyDescent="0.3">
      <c r="A7" s="16" t="s">
        <v>148</v>
      </c>
      <c r="C7" s="16">
        <f>1/250</f>
        <v>4.0000000000000001E-3</v>
      </c>
    </row>
    <row r="10" spans="1:10" x14ac:dyDescent="0.3">
      <c r="A10" s="16" t="s">
        <v>149</v>
      </c>
      <c r="B10" s="16" t="s">
        <v>150</v>
      </c>
      <c r="F10" s="16" t="s">
        <v>151</v>
      </c>
      <c r="J10" s="16" t="s">
        <v>152</v>
      </c>
    </row>
    <row r="11" spans="1:10" x14ac:dyDescent="0.3">
      <c r="A11" s="16">
        <v>0</v>
      </c>
      <c r="J11" s="16">
        <v>35</v>
      </c>
    </row>
    <row r="12" spans="1:10" x14ac:dyDescent="0.3">
      <c r="A12" s="16">
        <f>A11+1</f>
        <v>1</v>
      </c>
      <c r="B12" s="16">
        <f ca="1">RAND()</f>
        <v>0.53670624828755331</v>
      </c>
      <c r="F12" s="16">
        <f ca="1">_xlfn.NORM.S.INV(B12)</f>
        <v>9.2139124961838792E-2</v>
      </c>
      <c r="J12" s="16">
        <f ca="1">J11*EXP(($D$5-0.5*$B$6^2)*$C$7+$B$6*SQRT($C$7)*F12)</f>
        <v>35.059041472082669</v>
      </c>
    </row>
    <row r="13" spans="1:10" x14ac:dyDescent="0.3">
      <c r="A13" s="16">
        <f t="shared" ref="A13:A76" si="0">A12+1</f>
        <v>2</v>
      </c>
      <c r="B13" s="16">
        <f t="shared" ref="B13:B76" ca="1" si="1">RAND()</f>
        <v>0.4654765854195515</v>
      </c>
      <c r="F13" s="16">
        <f t="shared" ref="F13:F76" ca="1" si="2">_xlfn.NORM.S.INV(B13)</f>
        <v>-8.6645660099838887E-2</v>
      </c>
      <c r="J13" s="16">
        <f t="shared" ref="J13:J76" ca="1" si="3">J12*EXP(($D$5-0.5*$B$6^2)*$C$7+$B$6*SQRT($C$7)*F13)</f>
        <v>35.038853610380251</v>
      </c>
    </row>
    <row r="14" spans="1:10" x14ac:dyDescent="0.3">
      <c r="A14" s="16">
        <f t="shared" si="0"/>
        <v>3</v>
      </c>
      <c r="B14" s="16">
        <f t="shared" ca="1" si="1"/>
        <v>0.34435291049051453</v>
      </c>
      <c r="F14" s="16">
        <f t="shared" ca="1" si="2"/>
        <v>-0.40061198417020089</v>
      </c>
      <c r="J14" s="16">
        <f t="shared" ca="1" si="3"/>
        <v>34.879880172816449</v>
      </c>
    </row>
    <row r="15" spans="1:10" x14ac:dyDescent="0.3">
      <c r="A15" s="16">
        <f t="shared" si="0"/>
        <v>4</v>
      </c>
      <c r="B15" s="16">
        <f t="shared" ca="1" si="1"/>
        <v>6.8419249586852082E-2</v>
      </c>
      <c r="F15" s="16">
        <f t="shared" ca="1" si="2"/>
        <v>-1.4876678918974064</v>
      </c>
      <c r="J15" s="16">
        <f t="shared" ca="1" si="3"/>
        <v>34.24746296196215</v>
      </c>
    </row>
    <row r="16" spans="1:10" x14ac:dyDescent="0.3">
      <c r="A16" s="16">
        <f t="shared" si="0"/>
        <v>5</v>
      </c>
      <c r="B16" s="16">
        <f t="shared" ca="1" si="1"/>
        <v>0.91129200959169776</v>
      </c>
      <c r="F16" s="16">
        <f t="shared" ca="1" si="2"/>
        <v>1.3487540421461086</v>
      </c>
      <c r="J16" s="16">
        <f t="shared" ca="1" si="3"/>
        <v>34.85487549917724</v>
      </c>
    </row>
    <row r="17" spans="1:10" x14ac:dyDescent="0.3">
      <c r="A17" s="16">
        <f t="shared" si="0"/>
        <v>6</v>
      </c>
      <c r="B17" s="16">
        <f t="shared" ca="1" si="1"/>
        <v>0.83183302796646552</v>
      </c>
      <c r="F17" s="16">
        <f t="shared" ca="1" si="2"/>
        <v>0.9614341028402793</v>
      </c>
      <c r="J17" s="16">
        <f t="shared" ca="1" si="3"/>
        <v>35.299694634038445</v>
      </c>
    </row>
    <row r="18" spans="1:10" x14ac:dyDescent="0.3">
      <c r="A18" s="16">
        <f t="shared" si="0"/>
        <v>7</v>
      </c>
      <c r="B18" s="16">
        <f t="shared" ca="1" si="1"/>
        <v>0.51833274427943388</v>
      </c>
      <c r="F18" s="16">
        <f t="shared" ca="1" si="2"/>
        <v>4.5969560514636382E-2</v>
      </c>
      <c r="J18" s="16">
        <f t="shared" ca="1" si="3"/>
        <v>35.338597753354804</v>
      </c>
    </row>
    <row r="19" spans="1:10" x14ac:dyDescent="0.3">
      <c r="A19" s="16">
        <f t="shared" si="0"/>
        <v>8</v>
      </c>
      <c r="B19" s="16">
        <f t="shared" ca="1" si="1"/>
        <v>0.89724217585195698</v>
      </c>
      <c r="F19" s="16">
        <f t="shared" ca="1" si="2"/>
        <v>1.2659928326973886</v>
      </c>
      <c r="J19" s="16">
        <f t="shared" ca="1" si="3"/>
        <v>35.927731798147924</v>
      </c>
    </row>
    <row r="20" spans="1:10" x14ac:dyDescent="0.3">
      <c r="A20" s="16">
        <f t="shared" si="0"/>
        <v>9</v>
      </c>
      <c r="B20" s="16">
        <f t="shared" ca="1" si="1"/>
        <v>0.24310984514669931</v>
      </c>
      <c r="F20" s="16">
        <f t="shared" ca="1" si="2"/>
        <v>-0.69633399194471024</v>
      </c>
      <c r="J20" s="16">
        <f t="shared" ca="1" si="3"/>
        <v>35.63119310661088</v>
      </c>
    </row>
    <row r="21" spans="1:10" x14ac:dyDescent="0.3">
      <c r="A21" s="16">
        <f t="shared" si="0"/>
        <v>10</v>
      </c>
      <c r="B21" s="16">
        <f t="shared" ca="1" si="1"/>
        <v>0.81728609341565595</v>
      </c>
      <c r="F21" s="16">
        <f t="shared" ca="1" si="2"/>
        <v>0.90507092683738366</v>
      </c>
      <c r="J21" s="16">
        <f t="shared" ca="1" si="3"/>
        <v>36.060201561007275</v>
      </c>
    </row>
    <row r="22" spans="1:10" x14ac:dyDescent="0.3">
      <c r="A22" s="16">
        <f t="shared" si="0"/>
        <v>11</v>
      </c>
      <c r="B22" s="16">
        <f t="shared" ca="1" si="1"/>
        <v>0.48823036207255932</v>
      </c>
      <c r="F22" s="16">
        <f t="shared" ca="1" si="2"/>
        <v>-2.9506388161427925E-2</v>
      </c>
      <c r="J22" s="16">
        <f t="shared" ca="1" si="3"/>
        <v>36.065494520767274</v>
      </c>
    </row>
    <row r="23" spans="1:10" x14ac:dyDescent="0.3">
      <c r="A23" s="16">
        <f t="shared" si="0"/>
        <v>12</v>
      </c>
      <c r="B23" s="16">
        <f t="shared" ca="1" si="1"/>
        <v>0.44755467678357586</v>
      </c>
      <c r="F23" s="16">
        <f t="shared" ca="1" si="2"/>
        <v>-0.13184188840467556</v>
      </c>
      <c r="J23" s="16">
        <f t="shared" ca="1" si="3"/>
        <v>36.024126522244465</v>
      </c>
    </row>
    <row r="24" spans="1:10" x14ac:dyDescent="0.3">
      <c r="A24" s="16">
        <f t="shared" si="0"/>
        <v>13</v>
      </c>
      <c r="B24" s="16">
        <f t="shared" ca="1" si="1"/>
        <v>0.8127163126576693</v>
      </c>
      <c r="F24" s="16">
        <f t="shared" ca="1" si="2"/>
        <v>0.8879505070172462</v>
      </c>
      <c r="J24" s="16">
        <f t="shared" ca="1" si="3"/>
        <v>36.449971602198289</v>
      </c>
    </row>
    <row r="25" spans="1:10" x14ac:dyDescent="0.3">
      <c r="A25" s="16">
        <f t="shared" si="0"/>
        <v>14</v>
      </c>
      <c r="B25" s="16">
        <f t="shared" ca="1" si="1"/>
        <v>0.78480786781727518</v>
      </c>
      <c r="F25" s="16">
        <f t="shared" ca="1" si="2"/>
        <v>0.78853426459034037</v>
      </c>
      <c r="J25" s="16">
        <f t="shared" ca="1" si="3"/>
        <v>36.83450112439867</v>
      </c>
    </row>
    <row r="26" spans="1:10" x14ac:dyDescent="0.3">
      <c r="A26" s="16">
        <f t="shared" si="0"/>
        <v>15</v>
      </c>
      <c r="B26" s="16">
        <f t="shared" ca="1" si="1"/>
        <v>0.17475509634038022</v>
      </c>
      <c r="F26" s="16">
        <f t="shared" ca="1" si="2"/>
        <v>-0.93553977978720149</v>
      </c>
      <c r="J26" s="16">
        <f t="shared" ca="1" si="3"/>
        <v>36.42011348632365</v>
      </c>
    </row>
    <row r="27" spans="1:10" x14ac:dyDescent="0.3">
      <c r="A27" s="16">
        <f t="shared" si="0"/>
        <v>16</v>
      </c>
      <c r="B27" s="16">
        <f t="shared" ca="1" si="1"/>
        <v>0.58583886645102456</v>
      </c>
      <c r="F27" s="16">
        <f t="shared" ca="1" si="2"/>
        <v>0.21685382048927596</v>
      </c>
      <c r="J27" s="16">
        <f t="shared" ca="1" si="3"/>
        <v>36.539146704388173</v>
      </c>
    </row>
    <row r="28" spans="1:10" x14ac:dyDescent="0.3">
      <c r="A28" s="16">
        <f t="shared" si="0"/>
        <v>17</v>
      </c>
      <c r="B28" s="16">
        <f t="shared" ca="1" si="1"/>
        <v>0.13490869370913616</v>
      </c>
      <c r="F28" s="16">
        <f t="shared" ca="1" si="2"/>
        <v>-1.1034831904686626</v>
      </c>
      <c r="J28" s="16">
        <f t="shared" ca="1" si="3"/>
        <v>36.051415120398069</v>
      </c>
    </row>
    <row r="29" spans="1:10" x14ac:dyDescent="0.3">
      <c r="A29" s="16">
        <f t="shared" si="0"/>
        <v>18</v>
      </c>
      <c r="B29" s="16">
        <f t="shared" ca="1" si="1"/>
        <v>0.2178760567247332</v>
      </c>
      <c r="F29" s="16">
        <f t="shared" ca="1" si="2"/>
        <v>-0.77938643273160535</v>
      </c>
      <c r="J29" s="16">
        <f t="shared" ca="1" si="3"/>
        <v>35.716314461694388</v>
      </c>
    </row>
    <row r="30" spans="1:10" x14ac:dyDescent="0.3">
      <c r="A30" s="16">
        <f t="shared" si="0"/>
        <v>19</v>
      </c>
      <c r="B30" s="16">
        <f t="shared" ca="1" si="1"/>
        <v>0.4855945675975134</v>
      </c>
      <c r="F30" s="16">
        <f t="shared" ca="1" si="2"/>
        <v>-3.611691463923139E-2</v>
      </c>
      <c r="J30" s="16">
        <f t="shared" ca="1" si="3"/>
        <v>35.71857013071061</v>
      </c>
    </row>
    <row r="31" spans="1:10" x14ac:dyDescent="0.3">
      <c r="A31" s="16">
        <f t="shared" si="0"/>
        <v>20</v>
      </c>
      <c r="B31" s="16">
        <f t="shared" ca="1" si="1"/>
        <v>0.49998877170627709</v>
      </c>
      <c r="F31" s="16">
        <f t="shared" ca="1" si="2"/>
        <v>-2.814515852542165E-5</v>
      </c>
      <c r="J31" s="16">
        <f t="shared" ca="1" si="3"/>
        <v>35.737135894342657</v>
      </c>
    </row>
    <row r="32" spans="1:10" x14ac:dyDescent="0.3">
      <c r="A32" s="16">
        <f t="shared" si="0"/>
        <v>21</v>
      </c>
      <c r="B32" s="16">
        <f t="shared" ca="1" si="1"/>
        <v>0.22788637101314846</v>
      </c>
      <c r="F32" s="16">
        <f t="shared" ca="1" si="2"/>
        <v>-0.74582565187610927</v>
      </c>
      <c r="J32" s="16">
        <f t="shared" ca="1" si="3"/>
        <v>35.419989576484241</v>
      </c>
    </row>
    <row r="33" spans="1:10" x14ac:dyDescent="0.3">
      <c r="A33" s="16">
        <f t="shared" si="0"/>
        <v>22</v>
      </c>
      <c r="B33" s="16">
        <f t="shared" ca="1" si="1"/>
        <v>0.44807069872277872</v>
      </c>
      <c r="F33" s="16">
        <f t="shared" ca="1" si="2"/>
        <v>-0.13053723429336367</v>
      </c>
      <c r="J33" s="16">
        <f t="shared" ca="1" si="3"/>
        <v>35.37994584813395</v>
      </c>
    </row>
    <row r="34" spans="1:10" x14ac:dyDescent="0.3">
      <c r="A34" s="16">
        <f t="shared" si="0"/>
        <v>23</v>
      </c>
      <c r="B34" s="16">
        <f t="shared" ca="1" si="1"/>
        <v>0.70476664092603647</v>
      </c>
      <c r="F34" s="16">
        <f t="shared" ca="1" si="2"/>
        <v>0.53815981809259972</v>
      </c>
      <c r="J34" s="16">
        <f t="shared" ca="1" si="3"/>
        <v>35.640135383459331</v>
      </c>
    </row>
    <row r="35" spans="1:10" x14ac:dyDescent="0.3">
      <c r="A35" s="16">
        <f t="shared" si="0"/>
        <v>24</v>
      </c>
      <c r="B35" s="16">
        <f t="shared" ca="1" si="1"/>
        <v>0.77080287068546927</v>
      </c>
      <c r="F35" s="16">
        <f t="shared" ca="1" si="2"/>
        <v>0.74149352117917189</v>
      </c>
      <c r="J35" s="16">
        <f t="shared" ca="1" si="3"/>
        <v>35.994697459729117</v>
      </c>
    </row>
    <row r="36" spans="1:10" x14ac:dyDescent="0.3">
      <c r="A36" s="16">
        <f t="shared" si="0"/>
        <v>25</v>
      </c>
      <c r="B36" s="16">
        <f t="shared" ca="1" si="1"/>
        <v>0.70387187343486801</v>
      </c>
      <c r="F36" s="16">
        <f t="shared" ca="1" si="2"/>
        <v>0.5355692967970086</v>
      </c>
      <c r="J36" s="16">
        <f t="shared" ca="1" si="3"/>
        <v>36.258219851253187</v>
      </c>
    </row>
    <row r="37" spans="1:10" x14ac:dyDescent="0.3">
      <c r="A37" s="16">
        <f t="shared" si="0"/>
        <v>26</v>
      </c>
      <c r="B37" s="16">
        <f t="shared" ca="1" si="1"/>
        <v>0.8868265966889245</v>
      </c>
      <c r="F37" s="16">
        <f t="shared" ca="1" si="2"/>
        <v>1.2098230313541192</v>
      </c>
      <c r="J37" s="16">
        <f t="shared" ca="1" si="3"/>
        <v>36.836503464377351</v>
      </c>
    </row>
    <row r="38" spans="1:10" x14ac:dyDescent="0.3">
      <c r="A38" s="16">
        <f t="shared" si="0"/>
        <v>27</v>
      </c>
      <c r="B38" s="16">
        <f t="shared" ca="1" si="1"/>
        <v>0.91892831891074178</v>
      </c>
      <c r="F38" s="16">
        <f t="shared" ca="1" si="2"/>
        <v>1.3978991226678232</v>
      </c>
      <c r="J38" s="16">
        <f t="shared" ca="1" si="3"/>
        <v>37.513147673644823</v>
      </c>
    </row>
    <row r="39" spans="1:10" x14ac:dyDescent="0.3">
      <c r="A39" s="16">
        <f t="shared" si="0"/>
        <v>28</v>
      </c>
      <c r="B39" s="16">
        <f t="shared" ca="1" si="1"/>
        <v>0.55969401380381179</v>
      </c>
      <c r="F39" s="16">
        <f t="shared" ca="1" si="2"/>
        <v>0.15019347665530744</v>
      </c>
      <c r="J39" s="16">
        <f t="shared" ca="1" si="3"/>
        <v>37.604032427705619</v>
      </c>
    </row>
    <row r="40" spans="1:10" x14ac:dyDescent="0.3">
      <c r="A40" s="16">
        <f t="shared" si="0"/>
        <v>29</v>
      </c>
      <c r="B40" s="16">
        <f t="shared" ca="1" si="1"/>
        <v>0.98833513715035426</v>
      </c>
      <c r="F40" s="16">
        <f t="shared" ca="1" si="2"/>
        <v>2.2679914845151647</v>
      </c>
      <c r="J40" s="16">
        <f t="shared" ca="1" si="3"/>
        <v>38.718571369658299</v>
      </c>
    </row>
    <row r="41" spans="1:10" x14ac:dyDescent="0.3">
      <c r="A41" s="16">
        <f t="shared" si="0"/>
        <v>30</v>
      </c>
      <c r="B41" s="16">
        <f t="shared" ca="1" si="1"/>
        <v>0.1844535433387029</v>
      </c>
      <c r="F41" s="16">
        <f t="shared" ca="1" si="2"/>
        <v>-0.89852244117638869</v>
      </c>
      <c r="J41" s="16">
        <f t="shared" ca="1" si="3"/>
        <v>38.300917653130746</v>
      </c>
    </row>
    <row r="42" spans="1:10" x14ac:dyDescent="0.3">
      <c r="A42" s="16">
        <f t="shared" si="0"/>
        <v>31</v>
      </c>
      <c r="B42" s="16">
        <f t="shared" ca="1" si="1"/>
        <v>0.88815039945458052</v>
      </c>
      <c r="F42" s="16">
        <f t="shared" ca="1" si="2"/>
        <v>1.2167503885779176</v>
      </c>
      <c r="J42" s="16">
        <f t="shared" ca="1" si="3"/>
        <v>38.915190115307098</v>
      </c>
    </row>
    <row r="43" spans="1:10" x14ac:dyDescent="0.3">
      <c r="A43" s="16">
        <f t="shared" si="0"/>
        <v>32</v>
      </c>
      <c r="B43" s="16">
        <f t="shared" ca="1" si="1"/>
        <v>0.49684199593213463</v>
      </c>
      <c r="F43" s="16">
        <f t="shared" ca="1" si="2"/>
        <v>-7.9160249613745969E-3</v>
      </c>
      <c r="J43" s="16">
        <f t="shared" ca="1" si="3"/>
        <v>38.931532840555263</v>
      </c>
    </row>
    <row r="44" spans="1:10" x14ac:dyDescent="0.3">
      <c r="A44" s="16">
        <f t="shared" si="0"/>
        <v>33</v>
      </c>
      <c r="B44" s="16">
        <f t="shared" ca="1" si="1"/>
        <v>0.62138779505718311</v>
      </c>
      <c r="F44" s="16">
        <f t="shared" ca="1" si="2"/>
        <v>0.30912767236740418</v>
      </c>
      <c r="J44" s="16">
        <f t="shared" ca="1" si="3"/>
        <v>39.104389544402338</v>
      </c>
    </row>
    <row r="45" spans="1:10" x14ac:dyDescent="0.3">
      <c r="A45" s="16">
        <f t="shared" si="0"/>
        <v>34</v>
      </c>
      <c r="B45" s="16">
        <f t="shared" ca="1" si="1"/>
        <v>0.39811554033618346</v>
      </c>
      <c r="F45" s="16">
        <f t="shared" ca="1" si="2"/>
        <v>-0.25822783023349283</v>
      </c>
      <c r="J45" s="16">
        <f t="shared" ca="1" si="3"/>
        <v>38.997142447087306</v>
      </c>
    </row>
    <row r="46" spans="1:10" x14ac:dyDescent="0.3">
      <c r="A46" s="16">
        <f t="shared" si="0"/>
        <v>35</v>
      </c>
      <c r="B46" s="16">
        <f t="shared" ca="1" si="1"/>
        <v>7.212451649596141E-2</v>
      </c>
      <c r="F46" s="16">
        <f t="shared" ca="1" si="2"/>
        <v>-1.4601493467045688</v>
      </c>
      <c r="J46" s="16">
        <f t="shared" ca="1" si="3"/>
        <v>38.303404486357621</v>
      </c>
    </row>
    <row r="47" spans="1:10" x14ac:dyDescent="0.3">
      <c r="A47" s="16">
        <f t="shared" si="0"/>
        <v>36</v>
      </c>
      <c r="B47" s="16">
        <f t="shared" ca="1" si="1"/>
        <v>0.41368387700183473</v>
      </c>
      <c r="F47" s="16">
        <f t="shared" ca="1" si="2"/>
        <v>-0.21807874998444432</v>
      </c>
      <c r="J47" s="16">
        <f t="shared" ca="1" si="3"/>
        <v>38.217758125281904</v>
      </c>
    </row>
    <row r="48" spans="1:10" x14ac:dyDescent="0.3">
      <c r="A48" s="16">
        <f t="shared" si="0"/>
        <v>37</v>
      </c>
      <c r="B48" s="16">
        <f t="shared" ca="1" si="1"/>
        <v>0.31338025792892155</v>
      </c>
      <c r="F48" s="16">
        <f t="shared" ca="1" si="2"/>
        <v>-0.4862914845912214</v>
      </c>
      <c r="J48" s="16">
        <f t="shared" ca="1" si="3"/>
        <v>38.003152818410754</v>
      </c>
    </row>
    <row r="49" spans="1:10" x14ac:dyDescent="0.3">
      <c r="A49" s="16">
        <f t="shared" si="0"/>
        <v>38</v>
      </c>
      <c r="B49" s="16">
        <f t="shared" ca="1" si="1"/>
        <v>0.80153814604746576</v>
      </c>
      <c r="F49" s="16">
        <f t="shared" ca="1" si="2"/>
        <v>0.84712812901101409</v>
      </c>
      <c r="J49" s="16">
        <f t="shared" ca="1" si="3"/>
        <v>38.432541769089084</v>
      </c>
    </row>
    <row r="50" spans="1:10" x14ac:dyDescent="0.3">
      <c r="A50" s="16">
        <f t="shared" si="0"/>
        <v>39</v>
      </c>
      <c r="B50" s="16">
        <f t="shared" ca="1" si="1"/>
        <v>0.38861073812503555</v>
      </c>
      <c r="F50" s="16">
        <f t="shared" ca="1" si="2"/>
        <v>-0.2829417676487036</v>
      </c>
      <c r="J50" s="16">
        <f t="shared" ca="1" si="3"/>
        <v>38.315157723051456</v>
      </c>
    </row>
    <row r="51" spans="1:10" x14ac:dyDescent="0.3">
      <c r="A51" s="16">
        <f t="shared" si="0"/>
        <v>40</v>
      </c>
      <c r="B51" s="16">
        <f t="shared" ca="1" si="1"/>
        <v>0.48212195723128426</v>
      </c>
      <c r="F51" s="16">
        <f t="shared" ca="1" si="2"/>
        <v>-4.4828617609543896E-2</v>
      </c>
      <c r="J51" s="16">
        <f t="shared" ca="1" si="3"/>
        <v>38.313355338278377</v>
      </c>
    </row>
    <row r="52" spans="1:10" x14ac:dyDescent="0.3">
      <c r="A52" s="16">
        <f t="shared" si="0"/>
        <v>41</v>
      </c>
      <c r="B52" s="16">
        <f t="shared" ca="1" si="1"/>
        <v>0.53988460184976761</v>
      </c>
      <c r="F52" s="16">
        <f t="shared" ca="1" si="2"/>
        <v>0.10014300192596325</v>
      </c>
      <c r="J52" s="16">
        <f t="shared" ca="1" si="3"/>
        <v>38.381871764732324</v>
      </c>
    </row>
    <row r="53" spans="1:10" x14ac:dyDescent="0.3">
      <c r="A53" s="16">
        <f t="shared" si="0"/>
        <v>42</v>
      </c>
      <c r="B53" s="16">
        <f t="shared" ca="1" si="1"/>
        <v>1.1964523962622708E-2</v>
      </c>
      <c r="F53" s="16">
        <f t="shared" ca="1" si="2"/>
        <v>-2.2582665255347636</v>
      </c>
      <c r="J53" s="16">
        <f t="shared" ca="1" si="3"/>
        <v>37.320403787697508</v>
      </c>
    </row>
    <row r="54" spans="1:10" x14ac:dyDescent="0.3">
      <c r="A54" s="16">
        <f t="shared" si="0"/>
        <v>43</v>
      </c>
      <c r="B54" s="16">
        <f t="shared" ca="1" si="1"/>
        <v>0.65969717118160265</v>
      </c>
      <c r="F54" s="16">
        <f t="shared" ca="1" si="2"/>
        <v>0.41163679562107475</v>
      </c>
      <c r="J54" s="16">
        <f t="shared" ca="1" si="3"/>
        <v>37.534744908250069</v>
      </c>
    </row>
    <row r="55" spans="1:10" x14ac:dyDescent="0.3">
      <c r="A55" s="16">
        <f t="shared" si="0"/>
        <v>44</v>
      </c>
      <c r="B55" s="16">
        <f t="shared" ca="1" si="1"/>
        <v>0.98461819328256239</v>
      </c>
      <c r="F55" s="16">
        <f t="shared" ca="1" si="2"/>
        <v>2.1601169983597606</v>
      </c>
      <c r="J55" s="16">
        <f t="shared" ca="1" si="3"/>
        <v>38.59453143659853</v>
      </c>
    </row>
    <row r="56" spans="1:10" x14ac:dyDescent="0.3">
      <c r="A56" s="16">
        <f t="shared" si="0"/>
        <v>45</v>
      </c>
      <c r="B56" s="16">
        <f t="shared" ca="1" si="1"/>
        <v>0.6934282916943737</v>
      </c>
      <c r="F56" s="16">
        <f t="shared" ca="1" si="2"/>
        <v>0.50559154739355061</v>
      </c>
      <c r="J56" s="16">
        <f t="shared" ca="1" si="3"/>
        <v>38.862348508222787</v>
      </c>
    </row>
    <row r="57" spans="1:10" x14ac:dyDescent="0.3">
      <c r="A57" s="16">
        <f t="shared" si="0"/>
        <v>46</v>
      </c>
      <c r="B57" s="16">
        <f t="shared" ca="1" si="1"/>
        <v>0.36113304859792794</v>
      </c>
      <c r="F57" s="16">
        <f t="shared" ca="1" si="2"/>
        <v>-0.35543184261947769</v>
      </c>
      <c r="J57" s="16">
        <f t="shared" ca="1" si="3"/>
        <v>38.708142581492261</v>
      </c>
    </row>
    <row r="58" spans="1:10" x14ac:dyDescent="0.3">
      <c r="A58" s="16">
        <f t="shared" si="0"/>
        <v>47</v>
      </c>
      <c r="B58" s="16">
        <f t="shared" ca="1" si="1"/>
        <v>0.11774470835794459</v>
      </c>
      <c r="F58" s="16">
        <f t="shared" ca="1" si="2"/>
        <v>-1.1863365533022752</v>
      </c>
      <c r="J58" s="16">
        <f t="shared" ca="1" si="3"/>
        <v>38.151454323897525</v>
      </c>
    </row>
    <row r="59" spans="1:10" x14ac:dyDescent="0.3">
      <c r="A59" s="16">
        <f t="shared" si="0"/>
        <v>48</v>
      </c>
      <c r="B59" s="16">
        <f t="shared" ca="1" si="1"/>
        <v>0.34606958106698704</v>
      </c>
      <c r="F59" s="16">
        <f t="shared" ca="1" si="2"/>
        <v>-0.39595373056660815</v>
      </c>
      <c r="J59" s="16">
        <f t="shared" ca="1" si="3"/>
        <v>37.980596680980412</v>
      </c>
    </row>
    <row r="60" spans="1:10" x14ac:dyDescent="0.3">
      <c r="A60" s="16">
        <f t="shared" si="0"/>
        <v>49</v>
      </c>
      <c r="B60" s="16">
        <f t="shared" ca="1" si="1"/>
        <v>0.4192282795197726</v>
      </c>
      <c r="F60" s="16">
        <f t="shared" ca="1" si="2"/>
        <v>-0.20386811919772754</v>
      </c>
      <c r="J60" s="16">
        <f t="shared" ca="1" si="3"/>
        <v>37.902484546812396</v>
      </c>
    </row>
    <row r="61" spans="1:10" x14ac:dyDescent="0.3">
      <c r="A61" s="16">
        <f t="shared" si="0"/>
        <v>50</v>
      </c>
      <c r="B61" s="16">
        <f t="shared" ca="1" si="1"/>
        <v>0.61246635364379554</v>
      </c>
      <c r="F61" s="16">
        <f t="shared" ca="1" si="2"/>
        <v>0.28575302027493238</v>
      </c>
      <c r="J61" s="16">
        <f t="shared" ca="1" si="3"/>
        <v>38.059517591261347</v>
      </c>
    </row>
    <row r="62" spans="1:10" x14ac:dyDescent="0.3">
      <c r="A62" s="16">
        <f t="shared" si="0"/>
        <v>51</v>
      </c>
      <c r="B62" s="16">
        <f t="shared" ca="1" si="1"/>
        <v>0.3570893231233514</v>
      </c>
      <c r="F62" s="16">
        <f t="shared" ca="1" si="2"/>
        <v>-0.36624985163913709</v>
      </c>
      <c r="J62" s="16">
        <f t="shared" ca="1" si="3"/>
        <v>37.903310324876784</v>
      </c>
    </row>
    <row r="63" spans="1:10" x14ac:dyDescent="0.3">
      <c r="A63" s="16">
        <f t="shared" si="0"/>
        <v>52</v>
      </c>
      <c r="B63" s="16">
        <f t="shared" ca="1" si="1"/>
        <v>0.39292654108007086</v>
      </c>
      <c r="F63" s="16">
        <f t="shared" ca="1" si="2"/>
        <v>-0.27169950470377058</v>
      </c>
      <c r="J63" s="16">
        <f t="shared" ca="1" si="3"/>
        <v>37.792916649556439</v>
      </c>
    </row>
    <row r="64" spans="1:10" x14ac:dyDescent="0.3">
      <c r="A64" s="16">
        <f t="shared" si="0"/>
        <v>53</v>
      </c>
      <c r="B64" s="16">
        <f t="shared" ca="1" si="1"/>
        <v>0.57524746356599754</v>
      </c>
      <c r="F64" s="16">
        <f t="shared" ca="1" si="2"/>
        <v>0.18974995571835152</v>
      </c>
      <c r="J64" s="16">
        <f t="shared" ca="1" si="3"/>
        <v>37.903439616621654</v>
      </c>
    </row>
    <row r="65" spans="1:10" x14ac:dyDescent="0.3">
      <c r="A65" s="16">
        <f t="shared" si="0"/>
        <v>54</v>
      </c>
      <c r="B65" s="16">
        <f t="shared" ca="1" si="1"/>
        <v>0.34674988714870536</v>
      </c>
      <c r="F65" s="16">
        <f t="shared" ca="1" si="2"/>
        <v>-0.39411007321001013</v>
      </c>
      <c r="J65" s="16">
        <f t="shared" ca="1" si="3"/>
        <v>37.734572667465173</v>
      </c>
    </row>
    <row r="66" spans="1:10" x14ac:dyDescent="0.3">
      <c r="A66" s="16">
        <f t="shared" si="0"/>
        <v>55</v>
      </c>
      <c r="B66" s="16">
        <f t="shared" ca="1" si="1"/>
        <v>0.61141392916325388</v>
      </c>
      <c r="F66" s="16">
        <f t="shared" ca="1" si="2"/>
        <v>0.28300612516082274</v>
      </c>
      <c r="J66" s="16">
        <f t="shared" ca="1" si="3"/>
        <v>37.88959351312144</v>
      </c>
    </row>
    <row r="67" spans="1:10" x14ac:dyDescent="0.3">
      <c r="A67" s="16">
        <f t="shared" si="0"/>
        <v>56</v>
      </c>
      <c r="B67" s="16">
        <f t="shared" ca="1" si="1"/>
        <v>0.13297618870738281</v>
      </c>
      <c r="F67" s="16">
        <f t="shared" ca="1" si="2"/>
        <v>-1.112432174201859</v>
      </c>
      <c r="J67" s="16">
        <f t="shared" ca="1" si="3"/>
        <v>37.379604417617514</v>
      </c>
    </row>
    <row r="68" spans="1:10" x14ac:dyDescent="0.3">
      <c r="A68" s="16">
        <f t="shared" si="0"/>
        <v>57</v>
      </c>
      <c r="B68" s="16">
        <f t="shared" ca="1" si="1"/>
        <v>0.32209389634989938</v>
      </c>
      <c r="F68" s="16">
        <f t="shared" ca="1" si="2"/>
        <v>-0.46185153288897007</v>
      </c>
      <c r="J68" s="16">
        <f t="shared" ca="1" si="3"/>
        <v>37.181198174950801</v>
      </c>
    </row>
    <row r="69" spans="1:10" x14ac:dyDescent="0.3">
      <c r="A69" s="16">
        <f t="shared" si="0"/>
        <v>58</v>
      </c>
      <c r="B69" s="16">
        <f t="shared" ca="1" si="1"/>
        <v>0.8621726531515409</v>
      </c>
      <c r="F69" s="16">
        <f t="shared" ca="1" si="2"/>
        <v>1.0901327000934611</v>
      </c>
      <c r="J69" s="16">
        <f t="shared" ca="1" si="3"/>
        <v>37.717056426269593</v>
      </c>
    </row>
    <row r="70" spans="1:10" x14ac:dyDescent="0.3">
      <c r="A70" s="16">
        <f t="shared" si="0"/>
        <v>59</v>
      </c>
      <c r="B70" s="16">
        <f t="shared" ca="1" si="1"/>
        <v>7.6811600618735154E-2</v>
      </c>
      <c r="F70" s="16">
        <f t="shared" ca="1" si="2"/>
        <v>-1.4268497720326767</v>
      </c>
      <c r="J70" s="16">
        <f t="shared" ca="1" si="3"/>
        <v>37.061697970565739</v>
      </c>
    </row>
    <row r="71" spans="1:10" x14ac:dyDescent="0.3">
      <c r="A71" s="16">
        <f t="shared" si="0"/>
        <v>60</v>
      </c>
      <c r="B71" s="16">
        <f t="shared" ca="1" si="1"/>
        <v>0.52076033639042407</v>
      </c>
      <c r="F71" s="16">
        <f t="shared" ca="1" si="2"/>
        <v>5.2061955158192133E-2</v>
      </c>
      <c r="J71" s="16">
        <f t="shared" ca="1" si="3"/>
        <v>37.105402317424939</v>
      </c>
    </row>
    <row r="72" spans="1:10" x14ac:dyDescent="0.3">
      <c r="A72" s="16">
        <f t="shared" si="0"/>
        <v>61</v>
      </c>
      <c r="B72" s="16">
        <f t="shared" ca="1" si="1"/>
        <v>0.69685880328719196</v>
      </c>
      <c r="F72" s="16">
        <f t="shared" ca="1" si="2"/>
        <v>0.51538731702443163</v>
      </c>
      <c r="J72" s="16">
        <f t="shared" ca="1" si="3"/>
        <v>37.367515789845655</v>
      </c>
    </row>
    <row r="73" spans="1:10" x14ac:dyDescent="0.3">
      <c r="A73" s="16">
        <f t="shared" si="0"/>
        <v>62</v>
      </c>
      <c r="B73" s="16">
        <f t="shared" ca="1" si="1"/>
        <v>0.11495159681247735</v>
      </c>
      <c r="F73" s="16">
        <f t="shared" ca="1" si="2"/>
        <v>-1.2006082646547125</v>
      </c>
      <c r="J73" s="16">
        <f t="shared" ca="1" si="3"/>
        <v>36.823459867417832</v>
      </c>
    </row>
    <row r="74" spans="1:10" x14ac:dyDescent="0.3">
      <c r="A74" s="16">
        <f t="shared" si="0"/>
        <v>63</v>
      </c>
      <c r="B74" s="16">
        <f t="shared" ca="1" si="1"/>
        <v>0.83261019316744</v>
      </c>
      <c r="F74" s="16">
        <f t="shared" ca="1" si="2"/>
        <v>0.96453132018063803</v>
      </c>
      <c r="J74" s="16">
        <f t="shared" ca="1" si="3"/>
        <v>37.294863218445201</v>
      </c>
    </row>
    <row r="75" spans="1:10" x14ac:dyDescent="0.3">
      <c r="A75" s="16">
        <f t="shared" si="0"/>
        <v>64</v>
      </c>
      <c r="B75" s="16">
        <f t="shared" ca="1" si="1"/>
        <v>0.84401286899573291</v>
      </c>
      <c r="F75" s="16">
        <f t="shared" ca="1" si="2"/>
        <v>1.0110881070803246</v>
      </c>
      <c r="J75" s="16">
        <f t="shared" ca="1" si="3"/>
        <v>37.794552072670008</v>
      </c>
    </row>
    <row r="76" spans="1:10" x14ac:dyDescent="0.3">
      <c r="A76" s="16">
        <f t="shared" si="0"/>
        <v>65</v>
      </c>
      <c r="B76" s="16">
        <f t="shared" ca="1" si="1"/>
        <v>0.88740036694712277</v>
      </c>
      <c r="F76" s="16">
        <f t="shared" ca="1" si="2"/>
        <v>1.2128183813221085</v>
      </c>
      <c r="J76" s="16">
        <f t="shared" ca="1" si="3"/>
        <v>38.398793547615305</v>
      </c>
    </row>
    <row r="77" spans="1:10" x14ac:dyDescent="0.3">
      <c r="A77" s="16">
        <f t="shared" ref="A77:A140" si="4">A76+1</f>
        <v>66</v>
      </c>
      <c r="B77" s="16">
        <f t="shared" ref="B77:B140" ca="1" si="5">RAND()</f>
        <v>0.99479700655335901</v>
      </c>
      <c r="F77" s="16">
        <f t="shared" ref="F77:F140" ca="1" si="6">_xlfn.NORM.S.INV(B77)</f>
        <v>2.5620382111989066</v>
      </c>
      <c r="J77" s="16">
        <f t="shared" ref="J77:J140" ca="1" si="7">J76*EXP(($D$5-0.5*$B$6^2)*$C$7+$B$6*SQRT($C$7)*F77)</f>
        <v>39.684216757802687</v>
      </c>
    </row>
    <row r="78" spans="1:10" x14ac:dyDescent="0.3">
      <c r="A78" s="16">
        <f t="shared" si="4"/>
        <v>67</v>
      </c>
      <c r="B78" s="16">
        <f t="shared" ca="1" si="5"/>
        <v>0.88469797931562411</v>
      </c>
      <c r="F78" s="16">
        <f t="shared" ca="1" si="6"/>
        <v>1.198804322647264</v>
      </c>
      <c r="J78" s="16">
        <f t="shared" ca="1" si="7"/>
        <v>40.311522829831205</v>
      </c>
    </row>
    <row r="79" spans="1:10" x14ac:dyDescent="0.3">
      <c r="A79" s="16">
        <f t="shared" si="4"/>
        <v>68</v>
      </c>
      <c r="B79" s="16">
        <f t="shared" ca="1" si="5"/>
        <v>0.42845831837955795</v>
      </c>
      <c r="F79" s="16">
        <f t="shared" ca="1" si="6"/>
        <v>-0.18030053363146334</v>
      </c>
      <c r="J79" s="16">
        <f t="shared" ca="1" si="7"/>
        <v>40.24061113725017</v>
      </c>
    </row>
    <row r="80" spans="1:10" x14ac:dyDescent="0.3">
      <c r="A80" s="16">
        <f t="shared" si="4"/>
        <v>69</v>
      </c>
      <c r="B80" s="16">
        <f t="shared" ca="1" si="5"/>
        <v>0.14148170352351908</v>
      </c>
      <c r="F80" s="16">
        <f t="shared" ca="1" si="6"/>
        <v>-1.0736860693996018</v>
      </c>
      <c r="J80" s="16">
        <f t="shared" ca="1" si="7"/>
        <v>39.718439031551711</v>
      </c>
    </row>
    <row r="81" spans="1:10" x14ac:dyDescent="0.3">
      <c r="A81" s="16">
        <f t="shared" si="4"/>
        <v>70</v>
      </c>
      <c r="B81" s="16">
        <f t="shared" ca="1" si="5"/>
        <v>0.32840443876779957</v>
      </c>
      <c r="F81" s="16">
        <f t="shared" ca="1" si="6"/>
        <v>-0.4443232728361301</v>
      </c>
      <c r="J81" s="16">
        <f t="shared" ca="1" si="7"/>
        <v>39.516379026558653</v>
      </c>
    </row>
    <row r="82" spans="1:10" x14ac:dyDescent="0.3">
      <c r="A82" s="16">
        <f t="shared" si="4"/>
        <v>71</v>
      </c>
      <c r="B82" s="16">
        <f t="shared" ca="1" si="5"/>
        <v>0.76591000159566791</v>
      </c>
      <c r="F82" s="16">
        <f t="shared" ca="1" si="6"/>
        <v>0.7254434966721981</v>
      </c>
      <c r="J82" s="16">
        <f t="shared" ca="1" si="7"/>
        <v>39.901401951715549</v>
      </c>
    </row>
    <row r="83" spans="1:10" x14ac:dyDescent="0.3">
      <c r="A83" s="16">
        <f t="shared" si="4"/>
        <v>72</v>
      </c>
      <c r="B83" s="16">
        <f t="shared" ca="1" si="5"/>
        <v>0.13221545363339982</v>
      </c>
      <c r="F83" s="16">
        <f t="shared" ca="1" si="6"/>
        <v>-1.1159795056744222</v>
      </c>
      <c r="J83" s="16">
        <f t="shared" ca="1" si="7"/>
        <v>39.362567910049243</v>
      </c>
    </row>
    <row r="84" spans="1:10" x14ac:dyDescent="0.3">
      <c r="A84" s="16">
        <f t="shared" si="4"/>
        <v>73</v>
      </c>
      <c r="B84" s="16">
        <f t="shared" ca="1" si="5"/>
        <v>0.92308609227383376</v>
      </c>
      <c r="F84" s="16">
        <f t="shared" ca="1" si="6"/>
        <v>1.4261404130060424</v>
      </c>
      <c r="J84" s="16">
        <f t="shared" ca="1" si="7"/>
        <v>40.099935247925316</v>
      </c>
    </row>
    <row r="85" spans="1:10" x14ac:dyDescent="0.3">
      <c r="A85" s="16">
        <f t="shared" si="4"/>
        <v>74</v>
      </c>
      <c r="B85" s="16">
        <f t="shared" ca="1" si="5"/>
        <v>0.22568606408025249</v>
      </c>
      <c r="F85" s="16">
        <f t="shared" ca="1" si="6"/>
        <v>-0.75312945123671948</v>
      </c>
      <c r="J85" s="16">
        <f t="shared" ca="1" si="7"/>
        <v>39.740399971885381</v>
      </c>
    </row>
    <row r="86" spans="1:10" x14ac:dyDescent="0.3">
      <c r="A86" s="16">
        <f t="shared" si="4"/>
        <v>75</v>
      </c>
      <c r="B86" s="16">
        <f t="shared" ca="1" si="5"/>
        <v>2.8762492174292387E-2</v>
      </c>
      <c r="F86" s="16">
        <f t="shared" ca="1" si="6"/>
        <v>-1.8993004454280746</v>
      </c>
      <c r="J86" s="16">
        <f t="shared" ca="1" si="7"/>
        <v>38.81721525308128</v>
      </c>
    </row>
    <row r="87" spans="1:10" x14ac:dyDescent="0.3">
      <c r="A87" s="16">
        <f t="shared" si="4"/>
        <v>76</v>
      </c>
      <c r="B87" s="16">
        <f t="shared" ca="1" si="5"/>
        <v>0.21522165094067314</v>
      </c>
      <c r="F87" s="16">
        <f t="shared" ca="1" si="6"/>
        <v>-0.78843329516083638</v>
      </c>
      <c r="J87" s="16">
        <f t="shared" ca="1" si="7"/>
        <v>38.452005772794273</v>
      </c>
    </row>
    <row r="88" spans="1:10" x14ac:dyDescent="0.3">
      <c r="A88" s="16">
        <f t="shared" si="4"/>
        <v>77</v>
      </c>
      <c r="B88" s="16">
        <f t="shared" ca="1" si="5"/>
        <v>0.11857478737509519</v>
      </c>
      <c r="F88" s="16">
        <f t="shared" ca="1" si="6"/>
        <v>-1.1821414629785012</v>
      </c>
      <c r="J88" s="16">
        <f t="shared" ca="1" si="7"/>
        <v>37.901012325813802</v>
      </c>
    </row>
    <row r="89" spans="1:10" x14ac:dyDescent="0.3">
      <c r="A89" s="16">
        <f t="shared" si="4"/>
        <v>78</v>
      </c>
      <c r="B89" s="16">
        <f t="shared" ca="1" si="5"/>
        <v>7.927008911774347E-2</v>
      </c>
      <c r="F89" s="16">
        <f t="shared" ca="1" si="6"/>
        <v>-1.4099983224968329</v>
      </c>
      <c r="J89" s="16">
        <f t="shared" ca="1" si="7"/>
        <v>37.250396810171097</v>
      </c>
    </row>
    <row r="90" spans="1:10" x14ac:dyDescent="0.3">
      <c r="A90" s="16">
        <f t="shared" si="4"/>
        <v>79</v>
      </c>
      <c r="B90" s="16">
        <f t="shared" ca="1" si="5"/>
        <v>0.14974202430248484</v>
      </c>
      <c r="F90" s="16">
        <f t="shared" ca="1" si="6"/>
        <v>-1.0375404624738271</v>
      </c>
      <c r="J90" s="16">
        <f t="shared" ca="1" si="7"/>
        <v>36.783840551491593</v>
      </c>
    </row>
    <row r="91" spans="1:10" x14ac:dyDescent="0.3">
      <c r="A91" s="16">
        <f t="shared" si="4"/>
        <v>80</v>
      </c>
      <c r="B91" s="16">
        <f t="shared" ca="1" si="5"/>
        <v>0.74787993698912791</v>
      </c>
      <c r="F91" s="16">
        <f t="shared" ca="1" si="6"/>
        <v>0.66783311459218386</v>
      </c>
      <c r="J91" s="16">
        <f t="shared" ca="1" si="7"/>
        <v>37.11518289104653</v>
      </c>
    </row>
    <row r="92" spans="1:10" x14ac:dyDescent="0.3">
      <c r="A92" s="16">
        <f t="shared" si="4"/>
        <v>81</v>
      </c>
      <c r="B92" s="16">
        <f t="shared" ca="1" si="5"/>
        <v>0.82326331337938818</v>
      </c>
      <c r="F92" s="16">
        <f t="shared" ca="1" si="6"/>
        <v>0.92787315074909671</v>
      </c>
      <c r="J92" s="16">
        <f t="shared" ca="1" si="7"/>
        <v>37.57289445925646</v>
      </c>
    </row>
    <row r="93" spans="1:10" x14ac:dyDescent="0.3">
      <c r="A93" s="16">
        <f t="shared" si="4"/>
        <v>82</v>
      </c>
      <c r="B93" s="16">
        <f t="shared" ca="1" si="5"/>
        <v>0.50870056403483077</v>
      </c>
      <c r="F93" s="16">
        <f t="shared" ca="1" si="6"/>
        <v>2.1810808966589681E-2</v>
      </c>
      <c r="J93" s="16">
        <f t="shared" ca="1" si="7"/>
        <v>37.60281015330709</v>
      </c>
    </row>
    <row r="94" spans="1:10" x14ac:dyDescent="0.3">
      <c r="A94" s="16">
        <f t="shared" si="4"/>
        <v>83</v>
      </c>
      <c r="B94" s="16">
        <f t="shared" ca="1" si="5"/>
        <v>0.32522791834365095</v>
      </c>
      <c r="F94" s="16">
        <f t="shared" ca="1" si="6"/>
        <v>-0.4531290242979637</v>
      </c>
      <c r="J94" s="16">
        <f t="shared" ca="1" si="7"/>
        <v>37.407346161399552</v>
      </c>
    </row>
    <row r="95" spans="1:10" x14ac:dyDescent="0.3">
      <c r="A95" s="16">
        <f t="shared" si="4"/>
        <v>84</v>
      </c>
      <c r="B95" s="16">
        <f t="shared" ca="1" si="5"/>
        <v>0.89363646343688652</v>
      </c>
      <c r="F95" s="16">
        <f t="shared" ca="1" si="6"/>
        <v>1.2461016664326721</v>
      </c>
      <c r="J95" s="16">
        <f t="shared" ca="1" si="7"/>
        <v>38.021400961984334</v>
      </c>
    </row>
    <row r="96" spans="1:10" x14ac:dyDescent="0.3">
      <c r="A96" s="16">
        <f t="shared" si="4"/>
        <v>85</v>
      </c>
      <c r="B96" s="16">
        <f t="shared" ca="1" si="5"/>
        <v>0.5449315433349704</v>
      </c>
      <c r="F96" s="16">
        <f t="shared" ca="1" si="6"/>
        <v>0.11286584710927874</v>
      </c>
      <c r="J96" s="16">
        <f t="shared" ca="1" si="7"/>
        <v>38.095525603046347</v>
      </c>
    </row>
    <row r="97" spans="1:10" x14ac:dyDescent="0.3">
      <c r="A97" s="16">
        <f t="shared" si="4"/>
        <v>86</v>
      </c>
      <c r="B97" s="16">
        <f t="shared" ca="1" si="5"/>
        <v>0.88811714383218976</v>
      </c>
      <c r="F97" s="16">
        <f t="shared" ca="1" si="6"/>
        <v>1.2165756489840784</v>
      </c>
      <c r="J97" s="16">
        <f t="shared" ca="1" si="7"/>
        <v>38.706418422040123</v>
      </c>
    </row>
    <row r="98" spans="1:10" x14ac:dyDescent="0.3">
      <c r="A98" s="16">
        <f t="shared" si="4"/>
        <v>87</v>
      </c>
      <c r="B98" s="16">
        <f t="shared" ca="1" si="5"/>
        <v>0.40316360281892927</v>
      </c>
      <c r="F98" s="16">
        <f t="shared" ca="1" si="6"/>
        <v>-0.24516689835150302</v>
      </c>
      <c r="J98" s="16">
        <f t="shared" ca="1" si="7"/>
        <v>38.60664043848481</v>
      </c>
    </row>
    <row r="99" spans="1:10" x14ac:dyDescent="0.3">
      <c r="A99" s="16">
        <f t="shared" si="4"/>
        <v>88</v>
      </c>
      <c r="B99" s="16">
        <f t="shared" ca="1" si="5"/>
        <v>0.47120128790008842</v>
      </c>
      <c r="F99" s="16">
        <f t="shared" ca="1" si="6"/>
        <v>-7.2250476328790239E-2</v>
      </c>
      <c r="J99" s="16">
        <f t="shared" ca="1" si="7"/>
        <v>38.591436112728275</v>
      </c>
    </row>
    <row r="100" spans="1:10" x14ac:dyDescent="0.3">
      <c r="A100" s="16">
        <f t="shared" si="4"/>
        <v>89</v>
      </c>
      <c r="B100" s="16">
        <f t="shared" ca="1" si="5"/>
        <v>0.3203255729265384</v>
      </c>
      <c r="F100" s="16">
        <f t="shared" ca="1" si="6"/>
        <v>-0.46678858180328414</v>
      </c>
      <c r="J100" s="16">
        <f t="shared" ca="1" si="7"/>
        <v>38.384200479263733</v>
      </c>
    </row>
    <row r="101" spans="1:10" x14ac:dyDescent="0.3">
      <c r="A101" s="16">
        <f t="shared" si="4"/>
        <v>90</v>
      </c>
      <c r="B101" s="16">
        <f t="shared" ca="1" si="5"/>
        <v>0.8470902468719933</v>
      </c>
      <c r="F101" s="16">
        <f t="shared" ca="1" si="6"/>
        <v>1.0240333854568817</v>
      </c>
      <c r="J101" s="16">
        <f t="shared" ca="1" si="7"/>
        <v>38.904854635536154</v>
      </c>
    </row>
    <row r="102" spans="1:10" x14ac:dyDescent="0.3">
      <c r="A102" s="16">
        <f t="shared" si="4"/>
        <v>91</v>
      </c>
      <c r="B102" s="16">
        <f t="shared" ca="1" si="5"/>
        <v>0.31436191681429637</v>
      </c>
      <c r="F102" s="16">
        <f t="shared" ca="1" si="6"/>
        <v>-0.48352384423386691</v>
      </c>
      <c r="J102" s="16">
        <f t="shared" ca="1" si="7"/>
        <v>38.687745419521441</v>
      </c>
    </row>
    <row r="103" spans="1:10" x14ac:dyDescent="0.3">
      <c r="A103" s="16">
        <f t="shared" si="4"/>
        <v>92</v>
      </c>
      <c r="B103" s="16">
        <f t="shared" ca="1" si="5"/>
        <v>0.52852487905109036</v>
      </c>
      <c r="F103" s="16">
        <f t="shared" ca="1" si="6"/>
        <v>7.1562301837359774E-2</v>
      </c>
      <c r="J103" s="16">
        <f t="shared" ca="1" si="7"/>
        <v>38.742922483751578</v>
      </c>
    </row>
    <row r="104" spans="1:10" x14ac:dyDescent="0.3">
      <c r="A104" s="16">
        <f t="shared" si="4"/>
        <v>93</v>
      </c>
      <c r="B104" s="16">
        <f t="shared" ca="1" si="5"/>
        <v>0.49118548510888971</v>
      </c>
      <c r="F104" s="16">
        <f t="shared" ca="1" si="6"/>
        <v>-2.2096510246281582E-2</v>
      </c>
      <c r="J104" s="16">
        <f t="shared" ca="1" si="7"/>
        <v>38.752241230534693</v>
      </c>
    </row>
    <row r="105" spans="1:10" x14ac:dyDescent="0.3">
      <c r="A105" s="16">
        <f t="shared" si="4"/>
        <v>94</v>
      </c>
      <c r="B105" s="16">
        <f t="shared" ca="1" si="5"/>
        <v>0.53392990685593011</v>
      </c>
      <c r="F105" s="16">
        <f t="shared" ca="1" si="6"/>
        <v>8.515245796200438E-2</v>
      </c>
      <c r="J105" s="16">
        <f t="shared" ca="1" si="7"/>
        <v>38.814181995636652</v>
      </c>
    </row>
    <row r="106" spans="1:10" x14ac:dyDescent="0.3">
      <c r="A106" s="16">
        <f t="shared" si="4"/>
        <v>95</v>
      </c>
      <c r="B106" s="16">
        <f t="shared" ca="1" si="5"/>
        <v>0.11467769731819533</v>
      </c>
      <c r="F106" s="16">
        <f t="shared" ca="1" si="6"/>
        <v>-1.2020209930489814</v>
      </c>
      <c r="J106" s="16">
        <f t="shared" ca="1" si="7"/>
        <v>38.248379702744266</v>
      </c>
    </row>
    <row r="107" spans="1:10" x14ac:dyDescent="0.3">
      <c r="A107" s="16">
        <f t="shared" si="4"/>
        <v>96</v>
      </c>
      <c r="B107" s="16">
        <f t="shared" ca="1" si="5"/>
        <v>0.94716523168320266</v>
      </c>
      <c r="F107" s="16">
        <f t="shared" ca="1" si="6"/>
        <v>1.6179678027714079</v>
      </c>
      <c r="J107" s="16">
        <f t="shared" ca="1" si="7"/>
        <v>39.059536241986734</v>
      </c>
    </row>
    <row r="108" spans="1:10" x14ac:dyDescent="0.3">
      <c r="A108" s="16">
        <f t="shared" si="4"/>
        <v>97</v>
      </c>
      <c r="B108" s="16">
        <f t="shared" ca="1" si="5"/>
        <v>0.91491730812576733</v>
      </c>
      <c r="F108" s="16">
        <f t="shared" ca="1" si="6"/>
        <v>1.3716725938698291</v>
      </c>
      <c r="J108" s="16">
        <f t="shared" ca="1" si="7"/>
        <v>39.763821478562008</v>
      </c>
    </row>
    <row r="109" spans="1:10" x14ac:dyDescent="0.3">
      <c r="A109" s="16">
        <f t="shared" si="4"/>
        <v>98</v>
      </c>
      <c r="B109" s="16">
        <f t="shared" ca="1" si="5"/>
        <v>0.96743839301961487</v>
      </c>
      <c r="F109" s="16">
        <f t="shared" ca="1" si="6"/>
        <v>1.8444113534176825</v>
      </c>
      <c r="J109" s="16">
        <f t="shared" ca="1" si="7"/>
        <v>40.723594995604117</v>
      </c>
    </row>
    <row r="110" spans="1:10" x14ac:dyDescent="0.3">
      <c r="A110" s="16">
        <f t="shared" si="4"/>
        <v>99</v>
      </c>
      <c r="B110" s="16">
        <f t="shared" ca="1" si="5"/>
        <v>3.5279144240688565E-2</v>
      </c>
      <c r="F110" s="16">
        <f t="shared" ca="1" si="6"/>
        <v>-1.8083098578014254</v>
      </c>
      <c r="J110" s="16">
        <f t="shared" ca="1" si="7"/>
        <v>39.823378631086577</v>
      </c>
    </row>
    <row r="111" spans="1:10" x14ac:dyDescent="0.3">
      <c r="A111" s="16">
        <f t="shared" si="4"/>
        <v>100</v>
      </c>
      <c r="B111" s="16">
        <f t="shared" ca="1" si="5"/>
        <v>0.39463151197655266</v>
      </c>
      <c r="F111" s="16">
        <f t="shared" ca="1" si="6"/>
        <v>-0.26726773917248636</v>
      </c>
      <c r="J111" s="16">
        <f t="shared" ca="1" si="7"/>
        <v>39.709618717584355</v>
      </c>
    </row>
    <row r="112" spans="1:10" x14ac:dyDescent="0.3">
      <c r="A112" s="16">
        <f t="shared" si="4"/>
        <v>101</v>
      </c>
      <c r="B112" s="16">
        <f t="shared" ca="1" si="5"/>
        <v>0.95277129545534267</v>
      </c>
      <c r="F112" s="16">
        <f t="shared" ca="1" si="6"/>
        <v>1.6723394274223413</v>
      </c>
      <c r="J112" s="16">
        <f t="shared" ca="1" si="7"/>
        <v>40.579663815291127</v>
      </c>
    </row>
    <row r="113" spans="1:10" x14ac:dyDescent="0.3">
      <c r="A113" s="16">
        <f t="shared" si="4"/>
        <v>102</v>
      </c>
      <c r="B113" s="16">
        <f t="shared" ca="1" si="5"/>
        <v>0.41990203733492981</v>
      </c>
      <c r="F113" s="16">
        <f t="shared" ca="1" si="6"/>
        <v>-0.20214409736766648</v>
      </c>
      <c r="J113" s="16">
        <f t="shared" ca="1" si="7"/>
        <v>40.497089479152201</v>
      </c>
    </row>
    <row r="114" spans="1:10" x14ac:dyDescent="0.3">
      <c r="A114" s="16">
        <f t="shared" si="4"/>
        <v>103</v>
      </c>
      <c r="B114" s="16">
        <f t="shared" ca="1" si="5"/>
        <v>0.10733485928977637</v>
      </c>
      <c r="F114" s="16">
        <f t="shared" ca="1" si="6"/>
        <v>-1.2408268542018852</v>
      </c>
      <c r="J114" s="16">
        <f t="shared" ca="1" si="7"/>
        <v>39.887171290410642</v>
      </c>
    </row>
    <row r="115" spans="1:10" x14ac:dyDescent="0.3">
      <c r="A115" s="16">
        <f t="shared" si="4"/>
        <v>104</v>
      </c>
      <c r="B115" s="16">
        <f t="shared" ca="1" si="5"/>
        <v>0.85149190465300817</v>
      </c>
      <c r="F115" s="16">
        <f t="shared" ca="1" si="6"/>
        <v>1.0428534092018984</v>
      </c>
      <c r="J115" s="16">
        <f t="shared" ca="1" si="7"/>
        <v>40.437837514901659</v>
      </c>
    </row>
    <row r="116" spans="1:10" x14ac:dyDescent="0.3">
      <c r="A116" s="16">
        <f t="shared" si="4"/>
        <v>105</v>
      </c>
      <c r="B116" s="16">
        <f t="shared" ca="1" si="5"/>
        <v>0.31682752220896082</v>
      </c>
      <c r="F116" s="16">
        <f t="shared" ca="1" si="6"/>
        <v>-0.47658868193189485</v>
      </c>
      <c r="J116" s="16">
        <f t="shared" ca="1" si="7"/>
        <v>40.215701174110066</v>
      </c>
    </row>
    <row r="117" spans="1:10" x14ac:dyDescent="0.3">
      <c r="A117" s="16">
        <f t="shared" si="4"/>
        <v>106</v>
      </c>
      <c r="B117" s="16">
        <f t="shared" ca="1" si="5"/>
        <v>0.79348513496248618</v>
      </c>
      <c r="F117" s="16">
        <f t="shared" ca="1" si="6"/>
        <v>0.81857360749942865</v>
      </c>
      <c r="J117" s="16">
        <f t="shared" ca="1" si="7"/>
        <v>40.655402255131968</v>
      </c>
    </row>
    <row r="118" spans="1:10" x14ac:dyDescent="0.3">
      <c r="A118" s="16">
        <f t="shared" si="4"/>
        <v>107</v>
      </c>
      <c r="B118" s="16">
        <f t="shared" ca="1" si="5"/>
        <v>0.31264756696142648</v>
      </c>
      <c r="F118" s="16">
        <f t="shared" ca="1" si="6"/>
        <v>-0.4883596263478992</v>
      </c>
      <c r="J118" s="16">
        <f t="shared" ca="1" si="7"/>
        <v>40.426051207570524</v>
      </c>
    </row>
    <row r="119" spans="1:10" x14ac:dyDescent="0.3">
      <c r="A119" s="16">
        <f t="shared" si="4"/>
        <v>108</v>
      </c>
      <c r="B119" s="16">
        <f t="shared" ca="1" si="5"/>
        <v>0.77184305357400174</v>
      </c>
      <c r="F119" s="16">
        <f t="shared" ca="1" si="6"/>
        <v>0.74493024024166854</v>
      </c>
      <c r="J119" s="16">
        <f t="shared" ca="1" si="7"/>
        <v>40.830000356031043</v>
      </c>
    </row>
    <row r="120" spans="1:10" x14ac:dyDescent="0.3">
      <c r="A120" s="16">
        <f t="shared" si="4"/>
        <v>109</v>
      </c>
      <c r="B120" s="16">
        <f t="shared" ca="1" si="5"/>
        <v>0.46959080673271492</v>
      </c>
      <c r="F120" s="16">
        <f t="shared" ca="1" si="6"/>
        <v>-7.6298507200405041E-2</v>
      </c>
      <c r="J120" s="16">
        <f t="shared" ca="1" si="7"/>
        <v>40.811830629693127</v>
      </c>
    </row>
    <row r="121" spans="1:10" x14ac:dyDescent="0.3">
      <c r="A121" s="16">
        <f t="shared" si="4"/>
        <v>110</v>
      </c>
      <c r="B121" s="16">
        <f t="shared" ca="1" si="5"/>
        <v>0.36576532504839254</v>
      </c>
      <c r="F121" s="16">
        <f t="shared" ca="1" si="6"/>
        <v>-0.34309013800199939</v>
      </c>
      <c r="J121" s="16">
        <f t="shared" ca="1" si="7"/>
        <v>40.656235565567655</v>
      </c>
    </row>
    <row r="122" spans="1:10" x14ac:dyDescent="0.3">
      <c r="A122" s="16">
        <f t="shared" si="4"/>
        <v>111</v>
      </c>
      <c r="B122" s="16">
        <f t="shared" ca="1" si="5"/>
        <v>0.50325248889030583</v>
      </c>
      <c r="F122" s="16">
        <f t="shared" ca="1" si="6"/>
        <v>8.152870933740005E-3</v>
      </c>
      <c r="J122" s="16">
        <f t="shared" ca="1" si="7"/>
        <v>40.681577440819495</v>
      </c>
    </row>
    <row r="123" spans="1:10" x14ac:dyDescent="0.3">
      <c r="A123" s="16">
        <f t="shared" si="4"/>
        <v>112</v>
      </c>
      <c r="B123" s="16">
        <f t="shared" ca="1" si="5"/>
        <v>0.17866402395657877</v>
      </c>
      <c r="F123" s="16">
        <f t="shared" ca="1" si="6"/>
        <v>-0.92046838286527211</v>
      </c>
      <c r="J123" s="16">
        <f t="shared" ca="1" si="7"/>
        <v>40.231579254231349</v>
      </c>
    </row>
    <row r="124" spans="1:10" x14ac:dyDescent="0.3">
      <c r="A124" s="16">
        <f t="shared" si="4"/>
        <v>113</v>
      </c>
      <c r="B124" s="16">
        <f t="shared" ca="1" si="5"/>
        <v>0.86644251988572873</v>
      </c>
      <c r="F124" s="16">
        <f t="shared" ca="1" si="6"/>
        <v>1.1097310001254188</v>
      </c>
      <c r="J124" s="16">
        <f t="shared" ca="1" si="7"/>
        <v>40.821518272920315</v>
      </c>
    </row>
    <row r="125" spans="1:10" x14ac:dyDescent="0.3">
      <c r="A125" s="16">
        <f t="shared" si="4"/>
        <v>114</v>
      </c>
      <c r="B125" s="16">
        <f t="shared" ca="1" si="5"/>
        <v>0.36136494297926558</v>
      </c>
      <c r="F125" s="16">
        <f t="shared" ca="1" si="6"/>
        <v>-0.35481273663146234</v>
      </c>
      <c r="J125" s="16">
        <f t="shared" ca="1" si="7"/>
        <v>40.65985676590784</v>
      </c>
    </row>
    <row r="126" spans="1:10" x14ac:dyDescent="0.3">
      <c r="A126" s="16">
        <f t="shared" si="4"/>
        <v>115</v>
      </c>
      <c r="B126" s="16">
        <f t="shared" ca="1" si="5"/>
        <v>0.26279381275873448</v>
      </c>
      <c r="F126" s="16">
        <f t="shared" ca="1" si="6"/>
        <v>-0.63475590592390974</v>
      </c>
      <c r="J126" s="16">
        <f t="shared" ca="1" si="7"/>
        <v>40.355681400190178</v>
      </c>
    </row>
    <row r="127" spans="1:10" x14ac:dyDescent="0.3">
      <c r="A127" s="16">
        <f t="shared" si="4"/>
        <v>116</v>
      </c>
      <c r="B127" s="16">
        <f t="shared" ca="1" si="5"/>
        <v>0.48989525456917327</v>
      </c>
      <c r="F127" s="16">
        <f t="shared" ca="1" si="6"/>
        <v>-2.5331549500137048E-2</v>
      </c>
      <c r="J127" s="16">
        <f t="shared" ca="1" si="7"/>
        <v>40.36373632739982</v>
      </c>
    </row>
    <row r="128" spans="1:10" x14ac:dyDescent="0.3">
      <c r="A128" s="16">
        <f t="shared" si="4"/>
        <v>117</v>
      </c>
      <c r="B128" s="16">
        <f t="shared" ca="1" si="5"/>
        <v>0.98940206643443451</v>
      </c>
      <c r="F128" s="16">
        <f t="shared" ca="1" si="6"/>
        <v>2.3044772651194378</v>
      </c>
      <c r="J128" s="16">
        <f t="shared" ca="1" si="7"/>
        <v>41.579254546972891</v>
      </c>
    </row>
    <row r="129" spans="1:10" x14ac:dyDescent="0.3">
      <c r="A129" s="16">
        <f t="shared" si="4"/>
        <v>118</v>
      </c>
      <c r="B129" s="16">
        <f t="shared" ca="1" si="5"/>
        <v>7.0395345864450176E-2</v>
      </c>
      <c r="F129" s="16">
        <f t="shared" ca="1" si="6"/>
        <v>-1.4728529476640548</v>
      </c>
      <c r="J129" s="16">
        <f t="shared" ca="1" si="7"/>
        <v>40.833020261153194</v>
      </c>
    </row>
    <row r="130" spans="1:10" x14ac:dyDescent="0.3">
      <c r="A130" s="16">
        <f t="shared" si="4"/>
        <v>119</v>
      </c>
      <c r="B130" s="16">
        <f t="shared" ca="1" si="5"/>
        <v>0.62404725945995276</v>
      </c>
      <c r="F130" s="16">
        <f t="shared" ca="1" si="6"/>
        <v>0.31612783359675795</v>
      </c>
      <c r="J130" s="16">
        <f t="shared" ca="1" si="7"/>
        <v>41.01795141033984</v>
      </c>
    </row>
    <row r="131" spans="1:10" x14ac:dyDescent="0.3">
      <c r="A131" s="16">
        <f t="shared" si="4"/>
        <v>120</v>
      </c>
      <c r="B131" s="16">
        <f t="shared" ca="1" si="5"/>
        <v>0.21289897541689218</v>
      </c>
      <c r="F131" s="16">
        <f t="shared" ca="1" si="6"/>
        <v>-0.79640280080222758</v>
      </c>
      <c r="J131" s="16">
        <f t="shared" ca="1" si="7"/>
        <v>40.627940640020412</v>
      </c>
    </row>
    <row r="132" spans="1:10" x14ac:dyDescent="0.3">
      <c r="A132" s="16">
        <f t="shared" si="4"/>
        <v>121</v>
      </c>
      <c r="B132" s="16">
        <f t="shared" ca="1" si="5"/>
        <v>0.70614593809720339</v>
      </c>
      <c r="F132" s="16">
        <f t="shared" ca="1" si="6"/>
        <v>0.54216023869731633</v>
      </c>
      <c r="J132" s="16">
        <f t="shared" ca="1" si="7"/>
        <v>40.928795748868538</v>
      </c>
    </row>
    <row r="133" spans="1:10" x14ac:dyDescent="0.3">
      <c r="A133" s="16">
        <f t="shared" si="4"/>
        <v>122</v>
      </c>
      <c r="B133" s="16">
        <f t="shared" ca="1" si="5"/>
        <v>0.59926923166973989</v>
      </c>
      <c r="F133" s="16">
        <f t="shared" ca="1" si="6"/>
        <v>0.25145605137840532</v>
      </c>
      <c r="J133" s="16">
        <f t="shared" ca="1" si="7"/>
        <v>41.080541364614817</v>
      </c>
    </row>
    <row r="134" spans="1:10" x14ac:dyDescent="0.3">
      <c r="A134" s="16">
        <f t="shared" si="4"/>
        <v>123</v>
      </c>
      <c r="B134" s="16">
        <f t="shared" ca="1" si="5"/>
        <v>0.39524129384508266</v>
      </c>
      <c r="F134" s="16">
        <f t="shared" ca="1" si="6"/>
        <v>-0.26568399884333832</v>
      </c>
      <c r="J134" s="16">
        <f t="shared" ca="1" si="7"/>
        <v>40.964010845824426</v>
      </c>
    </row>
    <row r="135" spans="1:10" x14ac:dyDescent="0.3">
      <c r="A135" s="16">
        <f t="shared" si="4"/>
        <v>124</v>
      </c>
      <c r="B135" s="16">
        <f t="shared" ca="1" si="5"/>
        <v>0.27569845439019491</v>
      </c>
      <c r="F135" s="16">
        <f t="shared" ca="1" si="6"/>
        <v>-0.59566819591375675</v>
      </c>
      <c r="J135" s="16">
        <f t="shared" ca="1" si="7"/>
        <v>40.677667186144021</v>
      </c>
    </row>
    <row r="136" spans="1:10" x14ac:dyDescent="0.3">
      <c r="A136" s="16">
        <f t="shared" si="4"/>
        <v>125</v>
      </c>
      <c r="B136" s="16">
        <f t="shared" ca="1" si="5"/>
        <v>0.54658543555005423</v>
      </c>
      <c r="F136" s="16">
        <f t="shared" ca="1" si="6"/>
        <v>0.11703902449543606</v>
      </c>
      <c r="J136" s="16">
        <f t="shared" ca="1" si="7"/>
        <v>40.759121846602817</v>
      </c>
    </row>
    <row r="137" spans="1:10" x14ac:dyDescent="0.3">
      <c r="A137" s="16">
        <f t="shared" si="4"/>
        <v>126</v>
      </c>
      <c r="B137" s="16">
        <f t="shared" ca="1" si="5"/>
        <v>2.93688034993832E-2</v>
      </c>
      <c r="F137" s="16">
        <f t="shared" ca="1" si="6"/>
        <v>-1.8901522033625062</v>
      </c>
      <c r="J137" s="16">
        <f t="shared" ca="1" si="7"/>
        <v>39.816879056542234</v>
      </c>
    </row>
    <row r="138" spans="1:10" x14ac:dyDescent="0.3">
      <c r="A138" s="16">
        <f t="shared" si="4"/>
        <v>127</v>
      </c>
      <c r="B138" s="16">
        <f t="shared" ca="1" si="5"/>
        <v>9.6904203934186972E-2</v>
      </c>
      <c r="F138" s="16">
        <f t="shared" ca="1" si="6"/>
        <v>-1.2993949966493239</v>
      </c>
      <c r="J138" s="16">
        <f t="shared" ca="1" si="7"/>
        <v>39.188162658902463</v>
      </c>
    </row>
    <row r="139" spans="1:10" x14ac:dyDescent="0.3">
      <c r="A139" s="16">
        <f t="shared" si="4"/>
        <v>128</v>
      </c>
      <c r="B139" s="16">
        <f t="shared" ca="1" si="5"/>
        <v>0.91658256930596349</v>
      </c>
      <c r="F139" s="16">
        <f t="shared" ca="1" si="6"/>
        <v>1.3824458005775095</v>
      </c>
      <c r="J139" s="16">
        <f t="shared" ca="1" si="7"/>
        <v>39.900204056967453</v>
      </c>
    </row>
    <row r="140" spans="1:10" x14ac:dyDescent="0.3">
      <c r="A140" s="16">
        <f t="shared" si="4"/>
        <v>129</v>
      </c>
      <c r="B140" s="16">
        <f t="shared" ca="1" si="5"/>
        <v>0.51012927788494278</v>
      </c>
      <c r="F140" s="16">
        <f t="shared" ca="1" si="6"/>
        <v>2.5393063024280897E-2</v>
      </c>
      <c r="J140" s="16">
        <f t="shared" ca="1" si="7"/>
        <v>39.933782216189805</v>
      </c>
    </row>
    <row r="141" spans="1:10" x14ac:dyDescent="0.3">
      <c r="A141" s="16">
        <f t="shared" ref="A141:A204" si="8">A140+1</f>
        <v>130</v>
      </c>
      <c r="B141" s="16">
        <f t="shared" ref="B141:B204" ca="1" si="9">RAND()</f>
        <v>0.88048165043015814</v>
      </c>
      <c r="F141" s="16">
        <f t="shared" ref="F141:F204" ca="1" si="10">_xlfn.NORM.S.INV(B141)</f>
        <v>1.1773979715088501</v>
      </c>
      <c r="J141" s="16">
        <f t="shared" ref="J141:J204" ca="1" si="11">J140*EXP(($D$5-0.5*$B$6^2)*$C$7+$B$6*SQRT($C$7)*F141)</f>
        <v>40.554050920429162</v>
      </c>
    </row>
    <row r="142" spans="1:10" x14ac:dyDescent="0.3">
      <c r="A142" s="16">
        <f t="shared" si="8"/>
        <v>131</v>
      </c>
      <c r="B142" s="16">
        <f t="shared" ca="1" si="9"/>
        <v>0.42332491511710679</v>
      </c>
      <c r="F142" s="16">
        <f t="shared" ca="1" si="10"/>
        <v>-0.19339474551075089</v>
      </c>
      <c r="J142" s="16">
        <f t="shared" ca="1" si="11"/>
        <v>40.476007996644427</v>
      </c>
    </row>
    <row r="143" spans="1:10" x14ac:dyDescent="0.3">
      <c r="A143" s="16">
        <f t="shared" si="8"/>
        <v>132</v>
      </c>
      <c r="B143" s="16">
        <f t="shared" ca="1" si="9"/>
        <v>0.2678925508344977</v>
      </c>
      <c r="F143" s="16">
        <f t="shared" ca="1" si="10"/>
        <v>-0.61919925639547935</v>
      </c>
      <c r="J143" s="16">
        <f t="shared" ca="1" si="11"/>
        <v>40.18111397150853</v>
      </c>
    </row>
    <row r="144" spans="1:10" x14ac:dyDescent="0.3">
      <c r="A144" s="16">
        <f t="shared" si="8"/>
        <v>133</v>
      </c>
      <c r="B144" s="16">
        <f t="shared" ca="1" si="9"/>
        <v>0.52545096633037836</v>
      </c>
      <c r="F144" s="16">
        <f t="shared" ca="1" si="10"/>
        <v>6.383944800508895E-2</v>
      </c>
      <c r="J144" s="16">
        <f t="shared" ca="1" si="11"/>
        <v>40.23449031319975</v>
      </c>
    </row>
    <row r="145" spans="1:10" x14ac:dyDescent="0.3">
      <c r="A145" s="16">
        <f t="shared" si="8"/>
        <v>134</v>
      </c>
      <c r="B145" s="16">
        <f t="shared" ca="1" si="9"/>
        <v>0.22527688882176766</v>
      </c>
      <c r="F145" s="16">
        <f t="shared" ca="1" si="10"/>
        <v>-0.75449211605190181</v>
      </c>
      <c r="J145" s="16">
        <f t="shared" ca="1" si="11"/>
        <v>39.873061341073303</v>
      </c>
    </row>
    <row r="146" spans="1:10" x14ac:dyDescent="0.3">
      <c r="A146" s="16">
        <f t="shared" si="8"/>
        <v>135</v>
      </c>
      <c r="B146" s="16">
        <f t="shared" ca="1" si="9"/>
        <v>0.44565970160097856</v>
      </c>
      <c r="F146" s="16">
        <f t="shared" ca="1" si="10"/>
        <v>-0.13663488201658627</v>
      </c>
      <c r="J146" s="16">
        <f t="shared" ca="1" si="11"/>
        <v>39.82491142855357</v>
      </c>
    </row>
    <row r="147" spans="1:10" x14ac:dyDescent="0.3">
      <c r="A147" s="16">
        <f t="shared" si="8"/>
        <v>136</v>
      </c>
      <c r="B147" s="16">
        <f t="shared" ca="1" si="9"/>
        <v>0.296039312875509</v>
      </c>
      <c r="F147" s="16">
        <f t="shared" ca="1" si="10"/>
        <v>-0.53582626835072267</v>
      </c>
      <c r="J147" s="16">
        <f t="shared" ca="1" si="11"/>
        <v>39.576476185232671</v>
      </c>
    </row>
    <row r="148" spans="1:10" x14ac:dyDescent="0.3">
      <c r="A148" s="16">
        <f t="shared" si="8"/>
        <v>137</v>
      </c>
      <c r="B148" s="16">
        <f t="shared" ca="1" si="9"/>
        <v>0.11565970377832102</v>
      </c>
      <c r="F148" s="16">
        <f t="shared" ca="1" si="10"/>
        <v>-1.1969670253732096</v>
      </c>
      <c r="J148" s="16">
        <f t="shared" ca="1" si="11"/>
        <v>39.00205502490391</v>
      </c>
    </row>
    <row r="149" spans="1:10" x14ac:dyDescent="0.3">
      <c r="A149" s="16">
        <f t="shared" si="8"/>
        <v>138</v>
      </c>
      <c r="B149" s="16">
        <f t="shared" ca="1" si="9"/>
        <v>0.88811676289936148</v>
      </c>
      <c r="F149" s="16">
        <f t="shared" ca="1" si="10"/>
        <v>1.2165736476114746</v>
      </c>
      <c r="J149" s="16">
        <f t="shared" ca="1" si="11"/>
        <v>39.627483779236371</v>
      </c>
    </row>
    <row r="150" spans="1:10" x14ac:dyDescent="0.3">
      <c r="A150" s="16">
        <f t="shared" si="8"/>
        <v>139</v>
      </c>
      <c r="B150" s="16">
        <f t="shared" ca="1" si="9"/>
        <v>0.98557720539456006</v>
      </c>
      <c r="F150" s="16">
        <f t="shared" ca="1" si="10"/>
        <v>2.1855903506308865</v>
      </c>
      <c r="J150" s="16">
        <f t="shared" ca="1" si="11"/>
        <v>40.759489613186048</v>
      </c>
    </row>
    <row r="151" spans="1:10" x14ac:dyDescent="0.3">
      <c r="A151" s="16">
        <f t="shared" si="8"/>
        <v>140</v>
      </c>
      <c r="B151" s="16">
        <f t="shared" ca="1" si="9"/>
        <v>0.97659455507281978</v>
      </c>
      <c r="F151" s="16">
        <f t="shared" ca="1" si="10"/>
        <v>1.9880072346004829</v>
      </c>
      <c r="J151" s="16">
        <f t="shared" ca="1" si="11"/>
        <v>41.819185186371811</v>
      </c>
    </row>
    <row r="152" spans="1:10" x14ac:dyDescent="0.3">
      <c r="A152" s="16">
        <f t="shared" si="8"/>
        <v>141</v>
      </c>
      <c r="B152" s="16">
        <f t="shared" ca="1" si="9"/>
        <v>0.22226679718261821</v>
      </c>
      <c r="F152" s="16">
        <f t="shared" ca="1" si="10"/>
        <v>-0.76456000211665542</v>
      </c>
      <c r="J152" s="16">
        <f t="shared" ca="1" si="11"/>
        <v>41.438243311704376</v>
      </c>
    </row>
    <row r="153" spans="1:10" x14ac:dyDescent="0.3">
      <c r="A153" s="16">
        <f t="shared" si="8"/>
        <v>142</v>
      </c>
      <c r="B153" s="16">
        <f t="shared" ca="1" si="9"/>
        <v>0.42106668258781987</v>
      </c>
      <c r="F153" s="16">
        <f t="shared" ca="1" si="10"/>
        <v>-0.19916539848494513</v>
      </c>
      <c r="J153" s="16">
        <f t="shared" ca="1" si="11"/>
        <v>41.355480035943138</v>
      </c>
    </row>
    <row r="154" spans="1:10" x14ac:dyDescent="0.3">
      <c r="A154" s="16">
        <f t="shared" si="8"/>
        <v>143</v>
      </c>
      <c r="B154" s="16">
        <f t="shared" ca="1" si="9"/>
        <v>0.81476013686745152</v>
      </c>
      <c r="F154" s="16">
        <f t="shared" ca="1" si="10"/>
        <v>0.8955751244964677</v>
      </c>
      <c r="J154" s="16">
        <f t="shared" ca="1" si="11"/>
        <v>41.848383477291193</v>
      </c>
    </row>
    <row r="155" spans="1:10" x14ac:dyDescent="0.3">
      <c r="A155" s="16">
        <f t="shared" si="8"/>
        <v>144</v>
      </c>
      <c r="B155" s="16">
        <f t="shared" ca="1" si="9"/>
        <v>2.5384383850040049E-2</v>
      </c>
      <c r="F155" s="16">
        <f t="shared" ca="1" si="10"/>
        <v>-1.9534291267257804</v>
      </c>
      <c r="J155" s="16">
        <f t="shared" ca="1" si="11"/>
        <v>40.848251949183805</v>
      </c>
    </row>
    <row r="156" spans="1:10" x14ac:dyDescent="0.3">
      <c r="A156" s="16">
        <f t="shared" si="8"/>
        <v>145</v>
      </c>
      <c r="B156" s="16">
        <f t="shared" ca="1" si="9"/>
        <v>0.68426354070573137</v>
      </c>
      <c r="F156" s="16">
        <f t="shared" ca="1" si="10"/>
        <v>0.47965473592882374</v>
      </c>
      <c r="J156" s="16">
        <f t="shared" ca="1" si="11"/>
        <v>41.118215970440779</v>
      </c>
    </row>
    <row r="157" spans="1:10" x14ac:dyDescent="0.3">
      <c r="A157" s="16">
        <f t="shared" si="8"/>
        <v>146</v>
      </c>
      <c r="B157" s="16">
        <f t="shared" ca="1" si="9"/>
        <v>0.16767181961579614</v>
      </c>
      <c r="F157" s="16">
        <f t="shared" ca="1" si="10"/>
        <v>-0.96340635327548663</v>
      </c>
      <c r="J157" s="16">
        <f t="shared" ca="1" si="11"/>
        <v>40.641308525356934</v>
      </c>
    </row>
    <row r="158" spans="1:10" x14ac:dyDescent="0.3">
      <c r="A158" s="16">
        <f t="shared" si="8"/>
        <v>147</v>
      </c>
      <c r="B158" s="16">
        <f t="shared" ca="1" si="9"/>
        <v>0.92916503685417895</v>
      </c>
      <c r="F158" s="16">
        <f t="shared" ca="1" si="10"/>
        <v>1.4696007158600177</v>
      </c>
      <c r="J158" s="16">
        <f t="shared" ca="1" si="11"/>
        <v>41.425396830958412</v>
      </c>
    </row>
    <row r="159" spans="1:10" x14ac:dyDescent="0.3">
      <c r="A159" s="16">
        <f t="shared" si="8"/>
        <v>148</v>
      </c>
      <c r="B159" s="16">
        <f t="shared" ca="1" si="9"/>
        <v>0.17039784057163465</v>
      </c>
      <c r="F159" s="16">
        <f t="shared" ca="1" si="10"/>
        <v>-0.95259427083421788</v>
      </c>
      <c r="J159" s="16">
        <f t="shared" ca="1" si="11"/>
        <v>40.950526708197891</v>
      </c>
    </row>
    <row r="160" spans="1:10" x14ac:dyDescent="0.3">
      <c r="A160" s="16">
        <f t="shared" si="8"/>
        <v>149</v>
      </c>
      <c r="B160" s="16">
        <f t="shared" ca="1" si="9"/>
        <v>6.1207144914121603E-4</v>
      </c>
      <c r="F160" s="16">
        <f t="shared" ca="1" si="10"/>
        <v>-3.2331942609690789</v>
      </c>
      <c r="J160" s="16">
        <f t="shared" ca="1" si="11"/>
        <v>39.330002126569568</v>
      </c>
    </row>
    <row r="161" spans="1:10" x14ac:dyDescent="0.3">
      <c r="A161" s="16">
        <f t="shared" si="8"/>
        <v>150</v>
      </c>
      <c r="B161" s="16">
        <f t="shared" ca="1" si="9"/>
        <v>0.76152320295869214</v>
      </c>
      <c r="F161" s="16">
        <f t="shared" ca="1" si="10"/>
        <v>0.71121083702448573</v>
      </c>
      <c r="J161" s="16">
        <f t="shared" ca="1" si="11"/>
        <v>39.706060166750227</v>
      </c>
    </row>
    <row r="162" spans="1:10" x14ac:dyDescent="0.3">
      <c r="A162" s="16">
        <f t="shared" si="8"/>
        <v>151</v>
      </c>
      <c r="B162" s="16">
        <f t="shared" ca="1" si="9"/>
        <v>6.9602852048722408E-2</v>
      </c>
      <c r="F162" s="16">
        <f t="shared" ca="1" si="10"/>
        <v>-1.4787553840617882</v>
      </c>
      <c r="J162" s="16">
        <f t="shared" ca="1" si="11"/>
        <v>38.990533450091021</v>
      </c>
    </row>
    <row r="163" spans="1:10" x14ac:dyDescent="0.3">
      <c r="A163" s="16">
        <f t="shared" si="8"/>
        <v>152</v>
      </c>
      <c r="B163" s="16">
        <f t="shared" ca="1" si="9"/>
        <v>0.45544859607398125</v>
      </c>
      <c r="F163" s="16">
        <f t="shared" ca="1" si="10"/>
        <v>-0.11190694214328958</v>
      </c>
      <c r="J163" s="16">
        <f t="shared" ca="1" si="11"/>
        <v>38.955632148990894</v>
      </c>
    </row>
    <row r="164" spans="1:10" x14ac:dyDescent="0.3">
      <c r="A164" s="16">
        <f t="shared" si="8"/>
        <v>153</v>
      </c>
      <c r="B164" s="16">
        <f t="shared" ca="1" si="9"/>
        <v>0.70898985690621685</v>
      </c>
      <c r="F164" s="16">
        <f t="shared" ca="1" si="10"/>
        <v>0.5504361111379934</v>
      </c>
      <c r="J164" s="16">
        <f t="shared" ca="1" si="11"/>
        <v>39.248211982087675</v>
      </c>
    </row>
    <row r="165" spans="1:10" x14ac:dyDescent="0.3">
      <c r="A165" s="16">
        <f t="shared" si="8"/>
        <v>154</v>
      </c>
      <c r="B165" s="16">
        <f t="shared" ca="1" si="9"/>
        <v>6.7066399496292894E-2</v>
      </c>
      <c r="F165" s="16">
        <f t="shared" ca="1" si="10"/>
        <v>-1.4980017376558648</v>
      </c>
      <c r="J165" s="16">
        <f t="shared" ca="1" si="11"/>
        <v>38.53155434067056</v>
      </c>
    </row>
    <row r="166" spans="1:10" x14ac:dyDescent="0.3">
      <c r="A166" s="16">
        <f t="shared" si="8"/>
        <v>155</v>
      </c>
      <c r="B166" s="16">
        <f t="shared" ca="1" si="9"/>
        <v>0.92973699895429684</v>
      </c>
      <c r="F166" s="16">
        <f t="shared" ca="1" si="10"/>
        <v>1.4738350745909967</v>
      </c>
      <c r="J166" s="16">
        <f t="shared" ca="1" si="11"/>
        <v>39.277043046641971</v>
      </c>
    </row>
    <row r="167" spans="1:10" x14ac:dyDescent="0.3">
      <c r="A167" s="16">
        <f t="shared" si="8"/>
        <v>156</v>
      </c>
      <c r="B167" s="16">
        <f t="shared" ca="1" si="9"/>
        <v>0.41581756405534631</v>
      </c>
      <c r="F167" s="16">
        <f t="shared" ca="1" si="10"/>
        <v>-0.21260492700455794</v>
      </c>
      <c r="J167" s="16">
        <f t="shared" ca="1" si="11"/>
        <v>39.191933147074472</v>
      </c>
    </row>
    <row r="168" spans="1:10" x14ac:dyDescent="0.3">
      <c r="A168" s="16">
        <f t="shared" si="8"/>
        <v>157</v>
      </c>
      <c r="B168" s="16">
        <f t="shared" ca="1" si="9"/>
        <v>0.78858222945400436</v>
      </c>
      <c r="F168" s="16">
        <f t="shared" ca="1" si="10"/>
        <v>0.801511583122545</v>
      </c>
      <c r="J168" s="16">
        <f t="shared" ca="1" si="11"/>
        <v>39.611890852871987</v>
      </c>
    </row>
    <row r="169" spans="1:10" x14ac:dyDescent="0.3">
      <c r="A169" s="16">
        <f t="shared" si="8"/>
        <v>158</v>
      </c>
      <c r="B169" s="16">
        <f t="shared" ca="1" si="9"/>
        <v>0.32072913817901194</v>
      </c>
      <c r="F169" s="16">
        <f t="shared" ca="1" si="10"/>
        <v>-0.46566085465900858</v>
      </c>
      <c r="J169" s="16">
        <f t="shared" ca="1" si="11"/>
        <v>39.399737410675556</v>
      </c>
    </row>
    <row r="170" spans="1:10" x14ac:dyDescent="0.3">
      <c r="A170" s="16">
        <f t="shared" si="8"/>
        <v>159</v>
      </c>
      <c r="B170" s="16">
        <f t="shared" ca="1" si="9"/>
        <v>0.17951942179988667</v>
      </c>
      <c r="F170" s="16">
        <f t="shared" ca="1" si="10"/>
        <v>-0.9171980974640449</v>
      </c>
      <c r="J170" s="16">
        <f t="shared" ca="1" si="11"/>
        <v>38.965530086125042</v>
      </c>
    </row>
    <row r="171" spans="1:10" x14ac:dyDescent="0.3">
      <c r="A171" s="16">
        <f t="shared" si="8"/>
        <v>160</v>
      </c>
      <c r="B171" s="16">
        <f t="shared" ca="1" si="9"/>
        <v>0.32142080712219467</v>
      </c>
      <c r="F171" s="16">
        <f t="shared" ca="1" si="10"/>
        <v>-0.46372942285076607</v>
      </c>
      <c r="J171" s="16">
        <f t="shared" ca="1" si="11"/>
        <v>38.757785299984789</v>
      </c>
    </row>
    <row r="172" spans="1:10" x14ac:dyDescent="0.3">
      <c r="A172" s="16">
        <f t="shared" si="8"/>
        <v>161</v>
      </c>
      <c r="B172" s="16">
        <f t="shared" ca="1" si="9"/>
        <v>0.60692115170080474</v>
      </c>
      <c r="F172" s="16">
        <f t="shared" ca="1" si="10"/>
        <v>0.271303393607847</v>
      </c>
      <c r="J172" s="16">
        <f t="shared" ca="1" si="11"/>
        <v>38.911249273591302</v>
      </c>
    </row>
    <row r="173" spans="1:10" x14ac:dyDescent="0.3">
      <c r="A173" s="16">
        <f t="shared" si="8"/>
        <v>162</v>
      </c>
      <c r="B173" s="16">
        <f t="shared" ca="1" si="9"/>
        <v>0.77151264173064804</v>
      </c>
      <c r="F173" s="16">
        <f t="shared" ca="1" si="10"/>
        <v>0.74383762199030967</v>
      </c>
      <c r="J173" s="16">
        <f t="shared" ca="1" si="11"/>
        <v>39.299518921181722</v>
      </c>
    </row>
    <row r="174" spans="1:10" x14ac:dyDescent="0.3">
      <c r="A174" s="16">
        <f t="shared" si="8"/>
        <v>163</v>
      </c>
      <c r="B174" s="16">
        <f t="shared" ca="1" si="9"/>
        <v>9.9990780522506317E-2</v>
      </c>
      <c r="F174" s="16">
        <f t="shared" ca="1" si="10"/>
        <v>-1.2816041004476737</v>
      </c>
      <c r="J174" s="16">
        <f t="shared" ca="1" si="11"/>
        <v>38.687676999588788</v>
      </c>
    </row>
    <row r="175" spans="1:10" x14ac:dyDescent="0.3">
      <c r="A175" s="16">
        <f t="shared" si="8"/>
        <v>164</v>
      </c>
      <c r="B175" s="16">
        <f t="shared" ca="1" si="9"/>
        <v>0.47864782118638394</v>
      </c>
      <c r="F175" s="16">
        <f t="shared" ca="1" si="10"/>
        <v>-5.3547553982091982E-2</v>
      </c>
      <c r="J175" s="16">
        <f t="shared" ca="1" si="11"/>
        <v>38.681590787355553</v>
      </c>
    </row>
    <row r="176" spans="1:10" x14ac:dyDescent="0.3">
      <c r="A176" s="16">
        <f t="shared" si="8"/>
        <v>165</v>
      </c>
      <c r="B176" s="16">
        <f t="shared" ca="1" si="9"/>
        <v>0.46218181264678171</v>
      </c>
      <c r="F176" s="16">
        <f t="shared" ca="1" si="10"/>
        <v>-9.4938563883147392E-2</v>
      </c>
      <c r="J176" s="16">
        <f t="shared" ca="1" si="11"/>
        <v>38.655261905480401</v>
      </c>
    </row>
    <row r="177" spans="1:10" x14ac:dyDescent="0.3">
      <c r="A177" s="16">
        <f t="shared" si="8"/>
        <v>166</v>
      </c>
      <c r="B177" s="16">
        <f t="shared" ca="1" si="9"/>
        <v>0.97054965989408093</v>
      </c>
      <c r="F177" s="16">
        <f t="shared" ca="1" si="10"/>
        <v>1.8889339457031715</v>
      </c>
      <c r="J177" s="16">
        <f t="shared" ca="1" si="11"/>
        <v>39.610579540118245</v>
      </c>
    </row>
    <row r="178" spans="1:10" x14ac:dyDescent="0.3">
      <c r="A178" s="16">
        <f t="shared" si="8"/>
        <v>167</v>
      </c>
      <c r="B178" s="16">
        <f t="shared" ca="1" si="9"/>
        <v>0.79976390558316457</v>
      </c>
      <c r="F178" s="16">
        <f t="shared" ca="1" si="10"/>
        <v>0.84077822356485443</v>
      </c>
      <c r="J178" s="16">
        <f t="shared" ca="1" si="11"/>
        <v>40.054913072356243</v>
      </c>
    </row>
    <row r="179" spans="1:10" x14ac:dyDescent="0.3">
      <c r="A179" s="16">
        <f t="shared" si="8"/>
        <v>168</v>
      </c>
      <c r="B179" s="16">
        <f t="shared" ca="1" si="9"/>
        <v>0.47999558673236775</v>
      </c>
      <c r="F179" s="16">
        <f t="shared" ca="1" si="10"/>
        <v>-5.0164659811101284E-2</v>
      </c>
      <c r="J179" s="16">
        <f t="shared" ca="1" si="11"/>
        <v>40.050325512147182</v>
      </c>
    </row>
    <row r="180" spans="1:10" x14ac:dyDescent="0.3">
      <c r="A180" s="16">
        <f t="shared" si="8"/>
        <v>169</v>
      </c>
      <c r="B180" s="16">
        <f t="shared" ca="1" si="9"/>
        <v>0.89014722351339826</v>
      </c>
      <c r="F180" s="16">
        <f t="shared" ca="1" si="10"/>
        <v>1.2273114519707204</v>
      </c>
      <c r="J180" s="16">
        <f t="shared" ca="1" si="11"/>
        <v>40.698091500602679</v>
      </c>
    </row>
    <row r="181" spans="1:10" x14ac:dyDescent="0.3">
      <c r="A181" s="16">
        <f t="shared" si="8"/>
        <v>170</v>
      </c>
      <c r="B181" s="16">
        <f t="shared" ca="1" si="9"/>
        <v>1.8217477226848078E-2</v>
      </c>
      <c r="F181" s="16">
        <f t="shared" ca="1" si="10"/>
        <v>-2.0920398122667887</v>
      </c>
      <c r="J181" s="16">
        <f t="shared" ca="1" si="11"/>
        <v>39.655861033868526</v>
      </c>
    </row>
    <row r="182" spans="1:10" x14ac:dyDescent="0.3">
      <c r="A182" s="16">
        <f t="shared" si="8"/>
        <v>171</v>
      </c>
      <c r="B182" s="16">
        <f t="shared" ca="1" si="9"/>
        <v>0.39903905645444959</v>
      </c>
      <c r="F182" s="16">
        <f t="shared" ca="1" si="10"/>
        <v>-0.25583517356248991</v>
      </c>
      <c r="J182" s="16">
        <f t="shared" ca="1" si="11"/>
        <v>39.54829838963466</v>
      </c>
    </row>
    <row r="183" spans="1:10" x14ac:dyDescent="0.3">
      <c r="A183" s="16">
        <f t="shared" si="8"/>
        <v>172</v>
      </c>
      <c r="B183" s="16">
        <f t="shared" ca="1" si="9"/>
        <v>0.27269676952652366</v>
      </c>
      <c r="F183" s="16">
        <f t="shared" ca="1" si="10"/>
        <v>-0.60467714174800258</v>
      </c>
      <c r="J183" s="16">
        <f t="shared" ca="1" si="11"/>
        <v>39.267375765792934</v>
      </c>
    </row>
    <row r="184" spans="1:10" x14ac:dyDescent="0.3">
      <c r="A184" s="16">
        <f t="shared" si="8"/>
        <v>173</v>
      </c>
      <c r="B184" s="16">
        <f t="shared" ca="1" si="9"/>
        <v>0.25077511594996138</v>
      </c>
      <c r="F184" s="16">
        <f t="shared" ca="1" si="10"/>
        <v>-0.67205256675053893</v>
      </c>
      <c r="J184" s="16">
        <f t="shared" ca="1" si="11"/>
        <v>38.955235284311051</v>
      </c>
    </row>
    <row r="185" spans="1:10" x14ac:dyDescent="0.3">
      <c r="A185" s="16">
        <f t="shared" si="8"/>
        <v>174</v>
      </c>
      <c r="B185" s="16">
        <f t="shared" ca="1" si="9"/>
        <v>0.38410387940185431</v>
      </c>
      <c r="F185" s="16">
        <f t="shared" ca="1" si="10"/>
        <v>-0.29472003251914708</v>
      </c>
      <c r="J185" s="16">
        <f t="shared" ca="1" si="11"/>
        <v>38.830469209869989</v>
      </c>
    </row>
    <row r="186" spans="1:10" x14ac:dyDescent="0.3">
      <c r="A186" s="16">
        <f t="shared" si="8"/>
        <v>175</v>
      </c>
      <c r="B186" s="16">
        <f t="shared" ca="1" si="9"/>
        <v>0.2966126942147197</v>
      </c>
      <c r="F186" s="16">
        <f t="shared" ca="1" si="10"/>
        <v>-0.53416788162149309</v>
      </c>
      <c r="J186" s="16">
        <f t="shared" ca="1" si="11"/>
        <v>38.589046961505602</v>
      </c>
    </row>
    <row r="187" spans="1:10" x14ac:dyDescent="0.3">
      <c r="A187" s="16">
        <f t="shared" si="8"/>
        <v>176</v>
      </c>
      <c r="B187" s="16">
        <f t="shared" ca="1" si="9"/>
        <v>0.3698275226898724</v>
      </c>
      <c r="F187" s="16">
        <f t="shared" ca="1" si="10"/>
        <v>-0.33231019108000576</v>
      </c>
      <c r="J187" s="16">
        <f t="shared" ca="1" si="11"/>
        <v>38.447168431117525</v>
      </c>
    </row>
    <row r="188" spans="1:10" x14ac:dyDescent="0.3">
      <c r="A188" s="16">
        <f t="shared" si="8"/>
        <v>177</v>
      </c>
      <c r="B188" s="16">
        <f t="shared" ca="1" si="9"/>
        <v>0.42220093840339368</v>
      </c>
      <c r="F188" s="16">
        <f t="shared" ca="1" si="10"/>
        <v>-0.19626612147957112</v>
      </c>
      <c r="J188" s="16">
        <f t="shared" ca="1" si="11"/>
        <v>38.371786326679327</v>
      </c>
    </row>
    <row r="189" spans="1:10" x14ac:dyDescent="0.3">
      <c r="A189" s="16">
        <f t="shared" si="8"/>
        <v>178</v>
      </c>
      <c r="B189" s="16">
        <f t="shared" ca="1" si="9"/>
        <v>0.96758395961388788</v>
      </c>
      <c r="F189" s="16">
        <f t="shared" ca="1" si="10"/>
        <v>1.8464142425896974</v>
      </c>
      <c r="J189" s="16">
        <f t="shared" ca="1" si="11"/>
        <v>39.298956113048483</v>
      </c>
    </row>
    <row r="190" spans="1:10" x14ac:dyDescent="0.3">
      <c r="A190" s="16">
        <f t="shared" si="8"/>
        <v>179</v>
      </c>
      <c r="B190" s="16">
        <f t="shared" ca="1" si="9"/>
        <v>0.88589242394369294</v>
      </c>
      <c r="F190" s="16">
        <f t="shared" ca="1" si="10"/>
        <v>1.2049693040266849</v>
      </c>
      <c r="J190" s="16">
        <f t="shared" ca="1" si="11"/>
        <v>39.923285356192501</v>
      </c>
    </row>
    <row r="191" spans="1:10" x14ac:dyDescent="0.3">
      <c r="A191" s="16">
        <f t="shared" si="8"/>
        <v>180</v>
      </c>
      <c r="B191" s="16">
        <f t="shared" ca="1" si="9"/>
        <v>0.8339053834699699</v>
      </c>
      <c r="F191" s="16">
        <f t="shared" ca="1" si="10"/>
        <v>0.96971367319752222</v>
      </c>
      <c r="J191" s="16">
        <f t="shared" ca="1" si="11"/>
        <v>40.437022429461898</v>
      </c>
    </row>
    <row r="192" spans="1:10" x14ac:dyDescent="0.3">
      <c r="A192" s="16">
        <f t="shared" si="8"/>
        <v>181</v>
      </c>
      <c r="B192" s="16">
        <f t="shared" ca="1" si="9"/>
        <v>0.89467813802168028</v>
      </c>
      <c r="F192" s="16">
        <f t="shared" ca="1" si="10"/>
        <v>1.2517973282236414</v>
      </c>
      <c r="J192" s="16">
        <f t="shared" ca="1" si="11"/>
        <v>41.103771653020878</v>
      </c>
    </row>
    <row r="193" spans="1:10" x14ac:dyDescent="0.3">
      <c r="A193" s="16">
        <f t="shared" si="8"/>
        <v>182</v>
      </c>
      <c r="B193" s="16">
        <f t="shared" ca="1" si="9"/>
        <v>0.26083132390615815</v>
      </c>
      <c r="F193" s="16">
        <f t="shared" ca="1" si="10"/>
        <v>-0.64078458763958535</v>
      </c>
      <c r="J193" s="16">
        <f t="shared" ca="1" si="11"/>
        <v>40.793164469394647</v>
      </c>
    </row>
    <row r="194" spans="1:10" x14ac:dyDescent="0.3">
      <c r="A194" s="16">
        <f t="shared" si="8"/>
        <v>183</v>
      </c>
      <c r="B194" s="16">
        <f t="shared" ca="1" si="9"/>
        <v>0.15460824726480982</v>
      </c>
      <c r="F194" s="16">
        <f t="shared" ca="1" si="10"/>
        <v>-1.0168674398831261</v>
      </c>
      <c r="J194" s="16">
        <f t="shared" ca="1" si="11"/>
        <v>40.292770512285983</v>
      </c>
    </row>
    <row r="195" spans="1:10" x14ac:dyDescent="0.3">
      <c r="A195" s="16">
        <f t="shared" si="8"/>
        <v>184</v>
      </c>
      <c r="B195" s="16">
        <f t="shared" ca="1" si="9"/>
        <v>0.45040592943055135</v>
      </c>
      <c r="F195" s="16">
        <f t="shared" ca="1" si="10"/>
        <v>-0.12463583310125213</v>
      </c>
      <c r="J195" s="16">
        <f t="shared" ca="1" si="11"/>
        <v>40.250222373736158</v>
      </c>
    </row>
    <row r="196" spans="1:10" x14ac:dyDescent="0.3">
      <c r="A196" s="16">
        <f t="shared" si="8"/>
        <v>185</v>
      </c>
      <c r="B196" s="16">
        <f t="shared" ca="1" si="9"/>
        <v>0.31485088609977285</v>
      </c>
      <c r="F196" s="16">
        <f t="shared" ca="1" si="10"/>
        <v>-0.48214665046292732</v>
      </c>
      <c r="J196" s="16">
        <f t="shared" ca="1" si="11"/>
        <v>40.026302572906012</v>
      </c>
    </row>
    <row r="197" spans="1:10" x14ac:dyDescent="0.3">
      <c r="A197" s="16">
        <f t="shared" si="8"/>
        <v>186</v>
      </c>
      <c r="B197" s="16">
        <f t="shared" ca="1" si="9"/>
        <v>0.97151404191781954</v>
      </c>
      <c r="F197" s="16">
        <f t="shared" ca="1" si="10"/>
        <v>1.9035262165067808</v>
      </c>
      <c r="J197" s="16">
        <f t="shared" ca="1" si="11"/>
        <v>41.023075114406126</v>
      </c>
    </row>
    <row r="198" spans="1:10" x14ac:dyDescent="0.3">
      <c r="A198" s="16">
        <f t="shared" si="8"/>
        <v>187</v>
      </c>
      <c r="B198" s="16">
        <f t="shared" ca="1" si="9"/>
        <v>0.73716280499887132</v>
      </c>
      <c r="F198" s="16">
        <f t="shared" ca="1" si="10"/>
        <v>0.63462289861934218</v>
      </c>
      <c r="J198" s="16">
        <f t="shared" ca="1" si="11"/>
        <v>41.375219189542989</v>
      </c>
    </row>
    <row r="199" spans="1:10" x14ac:dyDescent="0.3">
      <c r="A199" s="16">
        <f t="shared" si="8"/>
        <v>188</v>
      </c>
      <c r="B199" s="16">
        <f t="shared" ca="1" si="9"/>
        <v>0.19994475241255594</v>
      </c>
      <c r="F199" s="16">
        <f t="shared" ca="1" si="10"/>
        <v>-0.84181858961381706</v>
      </c>
      <c r="J199" s="16">
        <f t="shared" ca="1" si="11"/>
        <v>40.958275378849422</v>
      </c>
    </row>
    <row r="200" spans="1:10" x14ac:dyDescent="0.3">
      <c r="A200" s="16">
        <f t="shared" si="8"/>
        <v>189</v>
      </c>
      <c r="B200" s="16">
        <f t="shared" ca="1" si="9"/>
        <v>0.10968566111512457</v>
      </c>
      <c r="F200" s="16">
        <f t="shared" ca="1" si="10"/>
        <v>-1.2282015360610827</v>
      </c>
      <c r="J200" s="16">
        <f t="shared" ca="1" si="11"/>
        <v>40.3478543651648</v>
      </c>
    </row>
    <row r="201" spans="1:10" x14ac:dyDescent="0.3">
      <c r="A201" s="16">
        <f t="shared" si="8"/>
        <v>190</v>
      </c>
      <c r="B201" s="16">
        <f t="shared" ca="1" si="9"/>
        <v>0.21098343245068718</v>
      </c>
      <c r="F201" s="16">
        <f t="shared" ca="1" si="10"/>
        <v>-0.8030136156048755</v>
      </c>
      <c r="J201" s="16">
        <f t="shared" ca="1" si="11"/>
        <v>39.960873370007981</v>
      </c>
    </row>
    <row r="202" spans="1:10" x14ac:dyDescent="0.3">
      <c r="A202" s="16">
        <f t="shared" si="8"/>
        <v>191</v>
      </c>
      <c r="B202" s="16">
        <f t="shared" ca="1" si="9"/>
        <v>0.4680541038220789</v>
      </c>
      <c r="F202" s="16">
        <f t="shared" ca="1" si="10"/>
        <v>-8.0162257538403878E-2</v>
      </c>
      <c r="J202" s="16">
        <f t="shared" ca="1" si="11"/>
        <v>39.941138322011071</v>
      </c>
    </row>
    <row r="203" spans="1:10" x14ac:dyDescent="0.3">
      <c r="A203" s="16">
        <f t="shared" si="8"/>
        <v>192</v>
      </c>
      <c r="B203" s="16">
        <f t="shared" ca="1" si="9"/>
        <v>8.0884966569178207E-2</v>
      </c>
      <c r="F203" s="16">
        <f t="shared" ca="1" si="10"/>
        <v>-1.3991435743206762</v>
      </c>
      <c r="J203" s="16">
        <f t="shared" ca="1" si="11"/>
        <v>39.260891905498816</v>
      </c>
    </row>
    <row r="204" spans="1:10" x14ac:dyDescent="0.3">
      <c r="A204" s="16">
        <f t="shared" si="8"/>
        <v>193</v>
      </c>
      <c r="B204" s="16">
        <f t="shared" ca="1" si="9"/>
        <v>0.75144824367460539</v>
      </c>
      <c r="F204" s="16">
        <f t="shared" ca="1" si="10"/>
        <v>0.67905421251820752</v>
      </c>
      <c r="J204" s="16">
        <f t="shared" ca="1" si="11"/>
        <v>39.620170251625943</v>
      </c>
    </row>
    <row r="205" spans="1:10" x14ac:dyDescent="0.3">
      <c r="A205" s="16">
        <f t="shared" ref="A205:A255" si="12">A204+1</f>
        <v>194</v>
      </c>
      <c r="B205" s="16">
        <f t="shared" ref="B205:B261" ca="1" si="13">RAND()</f>
        <v>0.57595817650751513</v>
      </c>
      <c r="F205" s="16">
        <f t="shared" ref="F205:F261" ca="1" si="14">_xlfn.NORM.S.INV(B205)</f>
        <v>0.19156412387903732</v>
      </c>
      <c r="J205" s="16">
        <f t="shared" ref="J205:J261" ca="1" si="15">J204*EXP(($D$5-0.5*$B$6^2)*$C$7+$B$6*SQRT($C$7)*F205)</f>
        <v>39.736948762648616</v>
      </c>
    </row>
    <row r="206" spans="1:10" x14ac:dyDescent="0.3">
      <c r="A206" s="16">
        <f t="shared" si="12"/>
        <v>195</v>
      </c>
      <c r="B206" s="16">
        <f t="shared" ca="1" si="13"/>
        <v>0.2315503090981893</v>
      </c>
      <c r="F206" s="16">
        <f t="shared" ca="1" si="14"/>
        <v>-0.73375082152872384</v>
      </c>
      <c r="J206" s="16">
        <f t="shared" ca="1" si="15"/>
        <v>39.39032228498511</v>
      </c>
    </row>
    <row r="207" spans="1:10" x14ac:dyDescent="0.3">
      <c r="A207" s="16">
        <f t="shared" si="12"/>
        <v>196</v>
      </c>
      <c r="B207" s="16">
        <f t="shared" ca="1" si="13"/>
        <v>0.71537075539984518</v>
      </c>
      <c r="F207" s="16">
        <f t="shared" ca="1" si="14"/>
        <v>0.56914389876962657</v>
      </c>
      <c r="J207" s="16">
        <f t="shared" ca="1" si="15"/>
        <v>39.695559219828894</v>
      </c>
    </row>
    <row r="208" spans="1:10" x14ac:dyDescent="0.3">
      <c r="A208" s="16">
        <f t="shared" si="12"/>
        <v>197</v>
      </c>
      <c r="B208" s="16">
        <f t="shared" ca="1" si="13"/>
        <v>0.29175734958967969</v>
      </c>
      <c r="F208" s="16">
        <f t="shared" ca="1" si="14"/>
        <v>-0.54825809138980031</v>
      </c>
      <c r="J208" s="16">
        <f t="shared" ca="1" si="15"/>
        <v>39.441728140973069</v>
      </c>
    </row>
    <row r="209" spans="1:10" x14ac:dyDescent="0.3">
      <c r="A209" s="16">
        <f t="shared" si="12"/>
        <v>198</v>
      </c>
      <c r="B209" s="16">
        <f t="shared" ca="1" si="13"/>
        <v>0.63358010265034059</v>
      </c>
      <c r="F209" s="16">
        <f t="shared" ca="1" si="14"/>
        <v>0.34135042045192149</v>
      </c>
      <c r="J209" s="16">
        <f t="shared" ca="1" si="15"/>
        <v>39.633000808810522</v>
      </c>
    </row>
    <row r="210" spans="1:10" x14ac:dyDescent="0.3">
      <c r="A210" s="16">
        <f t="shared" si="12"/>
        <v>199</v>
      </c>
      <c r="B210" s="16">
        <f t="shared" ca="1" si="13"/>
        <v>0.44166885054589999</v>
      </c>
      <c r="F210" s="16">
        <f t="shared" ca="1" si="14"/>
        <v>-0.14673942205626067</v>
      </c>
      <c r="J210" s="16">
        <f t="shared" ca="1" si="15"/>
        <v>39.580081598705696</v>
      </c>
    </row>
    <row r="211" spans="1:10" x14ac:dyDescent="0.3">
      <c r="A211" s="16">
        <f t="shared" si="12"/>
        <v>200</v>
      </c>
      <c r="B211" s="16">
        <f t="shared" ca="1" si="13"/>
        <v>0.61149057779615412</v>
      </c>
      <c r="F211" s="16">
        <f t="shared" ca="1" si="14"/>
        <v>0.28320611065629542</v>
      </c>
      <c r="J211" s="16">
        <f t="shared" ca="1" si="15"/>
        <v>39.742784682977721</v>
      </c>
    </row>
    <row r="212" spans="1:10" x14ac:dyDescent="0.3">
      <c r="A212" s="16">
        <f t="shared" si="12"/>
        <v>201</v>
      </c>
      <c r="B212" s="16">
        <f t="shared" ca="1" si="13"/>
        <v>4.4723503518375618E-2</v>
      </c>
      <c r="F212" s="16">
        <f t="shared" ca="1" si="14"/>
        <v>-1.6983219875164557</v>
      </c>
      <c r="J212" s="16">
        <f t="shared" ca="1" si="15"/>
        <v>38.918357111460878</v>
      </c>
    </row>
    <row r="213" spans="1:10" x14ac:dyDescent="0.3">
      <c r="A213" s="16">
        <f t="shared" si="12"/>
        <v>202</v>
      </c>
      <c r="B213" s="16">
        <f t="shared" ca="1" si="13"/>
        <v>0.38030064733460145</v>
      </c>
      <c r="F213" s="16">
        <f t="shared" ca="1" si="14"/>
        <v>-0.30469127594216933</v>
      </c>
      <c r="J213" s="16">
        <f t="shared" ca="1" si="15"/>
        <v>38.788816511050328</v>
      </c>
    </row>
    <row r="214" spans="1:10" x14ac:dyDescent="0.3">
      <c r="A214" s="16">
        <f t="shared" si="12"/>
        <v>203</v>
      </c>
      <c r="B214" s="16">
        <f t="shared" ca="1" si="13"/>
        <v>0.17665982213716491</v>
      </c>
      <c r="F214" s="16">
        <f t="shared" ca="1" si="14"/>
        <v>-0.92816951647366241</v>
      </c>
      <c r="J214" s="16">
        <f t="shared" ca="1" si="15"/>
        <v>38.356018511832147</v>
      </c>
    </row>
    <row r="215" spans="1:10" x14ac:dyDescent="0.3">
      <c r="A215" s="16">
        <f t="shared" si="12"/>
        <v>204</v>
      </c>
      <c r="B215" s="16">
        <f t="shared" ca="1" si="13"/>
        <v>0.91911423064621434</v>
      </c>
      <c r="F215" s="16">
        <f t="shared" ca="1" si="14"/>
        <v>1.3991382191245834</v>
      </c>
      <c r="J215" s="16">
        <f t="shared" ca="1" si="15"/>
        <v>39.061186684655155</v>
      </c>
    </row>
    <row r="216" spans="1:10" x14ac:dyDescent="0.3">
      <c r="A216" s="16">
        <f t="shared" si="12"/>
        <v>205</v>
      </c>
      <c r="B216" s="16">
        <f t="shared" ca="1" si="13"/>
        <v>0.28344746375621777</v>
      </c>
      <c r="F216" s="16">
        <f t="shared" ca="1" si="14"/>
        <v>-0.5726304653095432</v>
      </c>
      <c r="J216" s="16">
        <f t="shared" ca="1" si="15"/>
        <v>38.799448784632524</v>
      </c>
    </row>
    <row r="217" spans="1:10" x14ac:dyDescent="0.3">
      <c r="A217" s="16">
        <f t="shared" si="12"/>
        <v>206</v>
      </c>
      <c r="B217" s="16">
        <f t="shared" ca="1" si="13"/>
        <v>0.51034971445129185</v>
      </c>
      <c r="F217" s="16">
        <f t="shared" ca="1" si="14"/>
        <v>2.5945797635137761E-2</v>
      </c>
      <c r="J217" s="16">
        <f t="shared" ca="1" si="15"/>
        <v>38.832372098836352</v>
      </c>
    </row>
    <row r="218" spans="1:10" x14ac:dyDescent="0.3">
      <c r="A218" s="16">
        <f t="shared" si="12"/>
        <v>207</v>
      </c>
      <c r="B218" s="16">
        <f t="shared" ca="1" si="13"/>
        <v>0.35122606422882585</v>
      </c>
      <c r="F218" s="16">
        <f t="shared" ca="1" si="14"/>
        <v>-0.38201245203124023</v>
      </c>
      <c r="J218" s="16">
        <f t="shared" ca="1" si="15"/>
        <v>38.665282850154632</v>
      </c>
    </row>
    <row r="219" spans="1:10" x14ac:dyDescent="0.3">
      <c r="A219" s="16">
        <f t="shared" si="12"/>
        <v>208</v>
      </c>
      <c r="B219" s="16">
        <f t="shared" ca="1" si="13"/>
        <v>0.8257661759930135</v>
      </c>
      <c r="F219" s="16">
        <f t="shared" ca="1" si="14"/>
        <v>0.93756569470157203</v>
      </c>
      <c r="J219" s="16">
        <f t="shared" ca="1" si="15"/>
        <v>39.146909746567417</v>
      </c>
    </row>
    <row r="220" spans="1:10" x14ac:dyDescent="0.3">
      <c r="A220" s="16">
        <f t="shared" si="12"/>
        <v>209</v>
      </c>
      <c r="B220" s="16">
        <f t="shared" ca="1" si="13"/>
        <v>4.7907277280820892E-3</v>
      </c>
      <c r="F220" s="16">
        <f t="shared" ca="1" si="14"/>
        <v>-2.5905792603126763</v>
      </c>
      <c r="J220" s="16">
        <f t="shared" ca="1" si="15"/>
        <v>37.904618391421131</v>
      </c>
    </row>
    <row r="221" spans="1:10" x14ac:dyDescent="0.3">
      <c r="A221" s="16">
        <f t="shared" si="12"/>
        <v>210</v>
      </c>
      <c r="B221" s="16">
        <f t="shared" ca="1" si="13"/>
        <v>0.75904729584269848</v>
      </c>
      <c r="F221" s="16">
        <f t="shared" ca="1" si="14"/>
        <v>0.70324126303771228</v>
      </c>
      <c r="J221" s="16">
        <f t="shared" ca="1" si="15"/>
        <v>38.263190040929835</v>
      </c>
    </row>
    <row r="222" spans="1:10" x14ac:dyDescent="0.3">
      <c r="A222" s="16">
        <f t="shared" si="12"/>
        <v>211</v>
      </c>
      <c r="B222" s="16">
        <f t="shared" ca="1" si="13"/>
        <v>0.50509245276634351</v>
      </c>
      <c r="F222" s="16">
        <f t="shared" ca="1" si="14"/>
        <v>1.2765232767796501E-2</v>
      </c>
      <c r="J222" s="16">
        <f t="shared" ca="1" si="15"/>
        <v>38.289274099451362</v>
      </c>
    </row>
    <row r="223" spans="1:10" x14ac:dyDescent="0.3">
      <c r="A223" s="16">
        <f t="shared" si="12"/>
        <v>212</v>
      </c>
      <c r="B223" s="16">
        <f t="shared" ca="1" si="13"/>
        <v>0.89798378690793168</v>
      </c>
      <c r="F223" s="16">
        <f t="shared" ca="1" si="14"/>
        <v>1.2701465684984279</v>
      </c>
      <c r="J223" s="16">
        <f t="shared" ca="1" si="15"/>
        <v>38.929644578319504</v>
      </c>
    </row>
    <row r="224" spans="1:10" x14ac:dyDescent="0.3">
      <c r="A224" s="16">
        <f t="shared" si="12"/>
        <v>213</v>
      </c>
      <c r="B224" s="16">
        <f t="shared" ca="1" si="13"/>
        <v>0.17865850038728637</v>
      </c>
      <c r="F224" s="16">
        <f t="shared" ca="1" si="14"/>
        <v>-0.92048953209638906</v>
      </c>
      <c r="J224" s="16">
        <f t="shared" ca="1" si="15"/>
        <v>38.499015051264287</v>
      </c>
    </row>
    <row r="225" spans="1:10" x14ac:dyDescent="0.3">
      <c r="A225" s="16">
        <f t="shared" si="12"/>
        <v>214</v>
      </c>
      <c r="B225" s="16">
        <f t="shared" ca="1" si="13"/>
        <v>0.58357939462008335</v>
      </c>
      <c r="F225" s="16">
        <f t="shared" ca="1" si="14"/>
        <v>0.21105902823558037</v>
      </c>
      <c r="J225" s="16">
        <f t="shared" ca="1" si="15"/>
        <v>38.622011763636252</v>
      </c>
    </row>
    <row r="226" spans="1:10" x14ac:dyDescent="0.3">
      <c r="A226" s="16">
        <f t="shared" si="12"/>
        <v>215</v>
      </c>
      <c r="B226" s="16">
        <f t="shared" ca="1" si="13"/>
        <v>0.24242004306735099</v>
      </c>
      <c r="F226" s="16">
        <f t="shared" ca="1" si="14"/>
        <v>-0.69853914508254156</v>
      </c>
      <c r="J226" s="16">
        <f t="shared" ca="1" si="15"/>
        <v>38.302166759800137</v>
      </c>
    </row>
    <row r="227" spans="1:10" x14ac:dyDescent="0.3">
      <c r="A227" s="16">
        <f t="shared" si="12"/>
        <v>216</v>
      </c>
      <c r="B227" s="16">
        <f t="shared" ca="1" si="13"/>
        <v>0.82541750040339135</v>
      </c>
      <c r="F227" s="16">
        <f t="shared" ca="1" si="14"/>
        <v>0.93621014819413473</v>
      </c>
      <c r="J227" s="16">
        <f t="shared" ca="1" si="15"/>
        <v>38.778605646821148</v>
      </c>
    </row>
    <row r="228" spans="1:10" x14ac:dyDescent="0.3">
      <c r="A228" s="16">
        <f t="shared" si="12"/>
        <v>217</v>
      </c>
      <c r="B228" s="16">
        <f t="shared" ca="1" si="13"/>
        <v>0.42190910046716401</v>
      </c>
      <c r="F228" s="16">
        <f t="shared" ca="1" si="14"/>
        <v>-0.1970119313065726</v>
      </c>
      <c r="J228" s="16">
        <f t="shared" ca="1" si="15"/>
        <v>38.702208592466796</v>
      </c>
    </row>
    <row r="229" spans="1:10" x14ac:dyDescent="0.3">
      <c r="A229" s="16">
        <f t="shared" si="12"/>
        <v>218</v>
      </c>
      <c r="B229" s="16">
        <f t="shared" ca="1" si="13"/>
        <v>0.94387374129184287</v>
      </c>
      <c r="F229" s="16">
        <f t="shared" ca="1" si="14"/>
        <v>1.5881495880132783</v>
      </c>
      <c r="J229" s="16">
        <f t="shared" ca="1" si="15"/>
        <v>39.50808552649557</v>
      </c>
    </row>
    <row r="230" spans="1:10" x14ac:dyDescent="0.3">
      <c r="A230" s="16">
        <f t="shared" si="12"/>
        <v>219</v>
      </c>
      <c r="B230" s="16">
        <f t="shared" ca="1" si="13"/>
        <v>0.63024859115412224</v>
      </c>
      <c r="F230" s="16">
        <f t="shared" ca="1" si="14"/>
        <v>0.33251181763311999</v>
      </c>
      <c r="J230" s="16">
        <f t="shared" ca="1" si="15"/>
        <v>39.695241799904679</v>
      </c>
    </row>
    <row r="231" spans="1:10" x14ac:dyDescent="0.3">
      <c r="A231" s="16">
        <f t="shared" si="12"/>
        <v>220</v>
      </c>
      <c r="B231" s="16">
        <f t="shared" ca="1" si="13"/>
        <v>0.56292983204295177</v>
      </c>
      <c r="F231" s="16">
        <f t="shared" ca="1" si="14"/>
        <v>0.15840162178442546</v>
      </c>
      <c r="J231" s="16">
        <f t="shared" ca="1" si="15"/>
        <v>39.7955447966905</v>
      </c>
    </row>
    <row r="232" spans="1:10" x14ac:dyDescent="0.3">
      <c r="A232" s="16">
        <f t="shared" si="12"/>
        <v>221</v>
      </c>
      <c r="B232" s="16">
        <f t="shared" ca="1" si="13"/>
        <v>0.85484270532561013</v>
      </c>
      <c r="F232" s="16">
        <f t="shared" ca="1" si="14"/>
        <v>1.0574317462606306</v>
      </c>
      <c r="J232" s="16">
        <f t="shared" ca="1" si="15"/>
        <v>40.352386477727805</v>
      </c>
    </row>
    <row r="233" spans="1:10" x14ac:dyDescent="0.3">
      <c r="A233" s="16">
        <f t="shared" si="12"/>
        <v>222</v>
      </c>
      <c r="B233" s="16">
        <f t="shared" ca="1" si="13"/>
        <v>0.84184889864511525</v>
      </c>
      <c r="F233" s="16">
        <f t="shared" ca="1" si="14"/>
        <v>1.0020857022357939</v>
      </c>
      <c r="J233" s="16">
        <f t="shared" ca="1" si="15"/>
        <v>40.888384710847035</v>
      </c>
    </row>
    <row r="234" spans="1:10" x14ac:dyDescent="0.3">
      <c r="A234" s="16">
        <f t="shared" si="12"/>
        <v>223</v>
      </c>
      <c r="B234" s="16">
        <f t="shared" ca="1" si="13"/>
        <v>0.38320872284917706</v>
      </c>
      <c r="F234" s="16">
        <f t="shared" ca="1" si="14"/>
        <v>-0.29706426527934876</v>
      </c>
      <c r="J234" s="16">
        <f t="shared" ca="1" si="15"/>
        <v>40.756218593130342</v>
      </c>
    </row>
    <row r="235" spans="1:10" x14ac:dyDescent="0.3">
      <c r="A235" s="16">
        <f t="shared" si="12"/>
        <v>224</v>
      </c>
      <c r="B235" s="16">
        <f t="shared" ca="1" si="13"/>
        <v>0.65341880417633857</v>
      </c>
      <c r="F235" s="16">
        <f t="shared" ca="1" si="14"/>
        <v>0.39456710848154447</v>
      </c>
      <c r="J235" s="16">
        <f t="shared" ca="1" si="15"/>
        <v>40.981443003171854</v>
      </c>
    </row>
    <row r="236" spans="1:10" x14ac:dyDescent="0.3">
      <c r="A236" s="16">
        <f t="shared" si="12"/>
        <v>225</v>
      </c>
      <c r="B236" s="16">
        <f t="shared" ca="1" si="13"/>
        <v>0.33041583740069114</v>
      </c>
      <c r="F236" s="16">
        <f t="shared" ca="1" si="14"/>
        <v>-0.43876520495638349</v>
      </c>
      <c r="J236" s="16">
        <f t="shared" ca="1" si="15"/>
        <v>40.775824333553075</v>
      </c>
    </row>
    <row r="237" spans="1:10" x14ac:dyDescent="0.3">
      <c r="A237" s="16">
        <f t="shared" si="12"/>
        <v>226</v>
      </c>
      <c r="B237" s="16">
        <f t="shared" ca="1" si="13"/>
        <v>0.40205481049759739</v>
      </c>
      <c r="F237" s="16">
        <f t="shared" ca="1" si="14"/>
        <v>-0.24803203466269136</v>
      </c>
      <c r="J237" s="16">
        <f t="shared" ca="1" si="15"/>
        <v>40.669237866637495</v>
      </c>
    </row>
    <row r="238" spans="1:10" x14ac:dyDescent="0.3">
      <c r="A238" s="16">
        <f t="shared" si="12"/>
        <v>227</v>
      </c>
      <c r="B238" s="16">
        <f t="shared" ca="1" si="13"/>
        <v>0.82445640593253888</v>
      </c>
      <c r="F238" s="16">
        <f t="shared" ca="1" si="14"/>
        <v>0.93248257427579784</v>
      </c>
      <c r="J238" s="16">
        <f t="shared" ca="1" si="15"/>
        <v>41.173179260513265</v>
      </c>
    </row>
    <row r="239" spans="1:10" x14ac:dyDescent="0.3">
      <c r="A239" s="16">
        <f t="shared" si="12"/>
        <v>228</v>
      </c>
      <c r="B239" s="16">
        <f t="shared" ca="1" si="13"/>
        <v>0.30241744779946644</v>
      </c>
      <c r="F239" s="16">
        <f t="shared" ca="1" si="14"/>
        <v>-0.51746027110189774</v>
      </c>
      <c r="J239" s="16">
        <f t="shared" ca="1" si="15"/>
        <v>40.925839792449885</v>
      </c>
    </row>
    <row r="240" spans="1:10" x14ac:dyDescent="0.3">
      <c r="A240" s="16">
        <f t="shared" si="12"/>
        <v>229</v>
      </c>
      <c r="B240" s="16">
        <f t="shared" ca="1" si="13"/>
        <v>0.15847344213576808</v>
      </c>
      <c r="F240" s="16">
        <f t="shared" ca="1" si="14"/>
        <v>-1.0007516618063006</v>
      </c>
      <c r="J240" s="16">
        <f t="shared" ca="1" si="15"/>
        <v>40.43205960435548</v>
      </c>
    </row>
    <row r="241" spans="1:10" x14ac:dyDescent="0.3">
      <c r="A241" s="16">
        <f t="shared" si="12"/>
        <v>230</v>
      </c>
      <c r="B241" s="16">
        <f t="shared" ca="1" si="13"/>
        <v>0.93797388794188596</v>
      </c>
      <c r="F241" s="16">
        <f t="shared" ca="1" si="14"/>
        <v>1.5379852384614121</v>
      </c>
      <c r="J241" s="16">
        <f t="shared" ca="1" si="15"/>
        <v>41.247774931754066</v>
      </c>
    </row>
    <row r="242" spans="1:10" x14ac:dyDescent="0.3">
      <c r="A242" s="16">
        <f t="shared" si="12"/>
        <v>231</v>
      </c>
      <c r="B242" s="16">
        <f t="shared" ca="1" si="13"/>
        <v>0.81592852216274903</v>
      </c>
      <c r="F242" s="16">
        <f t="shared" ca="1" si="14"/>
        <v>0.89995733595700544</v>
      </c>
      <c r="J242" s="16">
        <f t="shared" ca="1" si="15"/>
        <v>41.741708392336584</v>
      </c>
    </row>
    <row r="243" spans="1:10" x14ac:dyDescent="0.3">
      <c r="A243" s="16">
        <f t="shared" si="12"/>
        <v>232</v>
      </c>
      <c r="B243" s="16">
        <f t="shared" ca="1" si="13"/>
        <v>0.59641386455928969</v>
      </c>
      <c r="F243" s="16">
        <f t="shared" ca="1" si="14"/>
        <v>0.24407559825608835</v>
      </c>
      <c r="J243" s="16">
        <f t="shared" ca="1" si="15"/>
        <v>41.89255681239014</v>
      </c>
    </row>
    <row r="244" spans="1:10" x14ac:dyDescent="0.3">
      <c r="A244" s="16">
        <f t="shared" si="12"/>
        <v>233</v>
      </c>
      <c r="B244" s="16">
        <f t="shared" ca="1" si="13"/>
        <v>0.20207254983877576</v>
      </c>
      <c r="F244" s="16">
        <f t="shared" ca="1" si="14"/>
        <v>-0.83424116292767581</v>
      </c>
      <c r="J244" s="16">
        <f t="shared" ca="1" si="15"/>
        <v>41.474374752144762</v>
      </c>
    </row>
    <row r="245" spans="1:10" x14ac:dyDescent="0.3">
      <c r="A245" s="16">
        <f t="shared" si="12"/>
        <v>234</v>
      </c>
      <c r="B245" s="16">
        <f t="shared" ca="1" si="13"/>
        <v>0.77272300863042076</v>
      </c>
      <c r="F245" s="16">
        <f t="shared" ca="1" si="14"/>
        <v>0.74784445755955276</v>
      </c>
      <c r="J245" s="16">
        <f t="shared" ca="1" si="15"/>
        <v>41.890343205955361</v>
      </c>
    </row>
    <row r="246" spans="1:10" x14ac:dyDescent="0.3">
      <c r="A246" s="16">
        <f t="shared" si="12"/>
        <v>235</v>
      </c>
      <c r="B246" s="16">
        <f t="shared" ca="1" si="13"/>
        <v>0.81960310788230828</v>
      </c>
      <c r="F246" s="16">
        <f t="shared" ca="1" si="14"/>
        <v>0.91385358730676591</v>
      </c>
      <c r="J246" s="16">
        <f t="shared" ca="1" si="15"/>
        <v>42.399423400002426</v>
      </c>
    </row>
    <row r="247" spans="1:10" x14ac:dyDescent="0.3">
      <c r="A247" s="16">
        <f t="shared" si="12"/>
        <v>236</v>
      </c>
      <c r="B247" s="16">
        <f t="shared" ca="1" si="13"/>
        <v>0.92815088967587933</v>
      </c>
      <c r="F247" s="16">
        <f t="shared" ca="1" si="14"/>
        <v>1.4621568951153487</v>
      </c>
      <c r="J247" s="16">
        <f t="shared" ca="1" si="15"/>
        <v>43.213361760110395</v>
      </c>
    </row>
    <row r="248" spans="1:10" x14ac:dyDescent="0.3">
      <c r="A248" s="16">
        <f t="shared" si="12"/>
        <v>237</v>
      </c>
      <c r="B248" s="16">
        <f t="shared" ca="1" si="13"/>
        <v>0.28221124232794326</v>
      </c>
      <c r="F248" s="16">
        <f t="shared" ca="1" si="14"/>
        <v>-0.57628511145053862</v>
      </c>
      <c r="J248" s="16">
        <f t="shared" ca="1" si="15"/>
        <v>42.921817079472078</v>
      </c>
    </row>
    <row r="249" spans="1:10" x14ac:dyDescent="0.3">
      <c r="A249" s="16">
        <f t="shared" si="12"/>
        <v>238</v>
      </c>
      <c r="B249" s="16">
        <f t="shared" ca="1" si="13"/>
        <v>0.10087651368139905</v>
      </c>
      <c r="F249" s="16">
        <f t="shared" ca="1" si="14"/>
        <v>-1.2765730334187455</v>
      </c>
      <c r="J249" s="16">
        <f t="shared" ca="1" si="15"/>
        <v>42.256269771554393</v>
      </c>
    </row>
    <row r="250" spans="1:10" x14ac:dyDescent="0.3">
      <c r="A250" s="16">
        <f t="shared" si="12"/>
        <v>239</v>
      </c>
      <c r="B250" s="16">
        <f t="shared" ca="1" si="13"/>
        <v>0.48160315449452218</v>
      </c>
      <c r="F250" s="16">
        <f t="shared" ca="1" si="14"/>
        <v>-4.6130408917715207E-2</v>
      </c>
      <c r="J250" s="16">
        <f t="shared" ca="1" si="15"/>
        <v>42.253586218278848</v>
      </c>
    </row>
    <row r="251" spans="1:10" x14ac:dyDescent="0.3">
      <c r="A251" s="16">
        <f t="shared" si="12"/>
        <v>240</v>
      </c>
      <c r="B251" s="16">
        <f t="shared" ca="1" si="13"/>
        <v>0.44207204368171249</v>
      </c>
      <c r="F251" s="16">
        <f t="shared" ca="1" si="14"/>
        <v>-0.14571790339866278</v>
      </c>
      <c r="J251" s="16">
        <f t="shared" ca="1" si="15"/>
        <v>42.197713167271274</v>
      </c>
    </row>
    <row r="252" spans="1:10" x14ac:dyDescent="0.3">
      <c r="A252" s="16">
        <f t="shared" si="12"/>
        <v>241</v>
      </c>
      <c r="B252" s="16">
        <f t="shared" ca="1" si="13"/>
        <v>8.7282018216998769E-2</v>
      </c>
      <c r="F252" s="16">
        <f t="shared" ca="1" si="14"/>
        <v>-1.3576838093238524</v>
      </c>
      <c r="J252" s="16">
        <f t="shared" ca="1" si="15"/>
        <v>41.500793042230455</v>
      </c>
    </row>
    <row r="253" spans="1:10" x14ac:dyDescent="0.3">
      <c r="A253" s="16">
        <f t="shared" si="12"/>
        <v>242</v>
      </c>
      <c r="B253" s="16">
        <f t="shared" ca="1" si="13"/>
        <v>0.8134641846095011</v>
      </c>
      <c r="F253" s="16">
        <f t="shared" ca="1" si="14"/>
        <v>0.89073448305249514</v>
      </c>
      <c r="J253" s="16">
        <f t="shared" ca="1" si="15"/>
        <v>41.992857131941065</v>
      </c>
    </row>
    <row r="254" spans="1:10" x14ac:dyDescent="0.3">
      <c r="A254" s="16">
        <f t="shared" si="12"/>
        <v>243</v>
      </c>
      <c r="B254" s="16">
        <f t="shared" ca="1" si="13"/>
        <v>0.39455649047216379</v>
      </c>
      <c r="F254" s="16">
        <f t="shared" ca="1" si="14"/>
        <v>-0.26746263309114804</v>
      </c>
      <c r="J254" s="16">
        <f t="shared" ca="1" si="15"/>
        <v>41.87279663523254</v>
      </c>
    </row>
    <row r="255" spans="1:10" x14ac:dyDescent="0.3">
      <c r="A255" s="16">
        <f t="shared" si="12"/>
        <v>244</v>
      </c>
      <c r="B255" s="16">
        <f t="shared" ca="1" si="13"/>
        <v>0.83125312462928247</v>
      </c>
      <c r="F255" s="16">
        <f t="shared" ca="1" si="14"/>
        <v>0.95912902362764652</v>
      </c>
      <c r="J255" s="16">
        <f t="shared" ca="1" si="15"/>
        <v>42.405942267364772</v>
      </c>
    </row>
    <row r="256" spans="1:10" x14ac:dyDescent="0.3">
      <c r="A256" s="16">
        <f>A255+1</f>
        <v>245</v>
      </c>
      <c r="B256" s="16">
        <f t="shared" ca="1" si="13"/>
        <v>0.9167102195892185</v>
      </c>
      <c r="F256" s="16">
        <f t="shared" ca="1" si="14"/>
        <v>1.383278261739211</v>
      </c>
      <c r="J256" s="16">
        <f t="shared" ca="1" si="15"/>
        <v>43.176904749458338</v>
      </c>
    </row>
    <row r="257" spans="1:10" x14ac:dyDescent="0.3">
      <c r="A257" s="16">
        <f t="shared" ref="A257:A261" si="16">A256+1</f>
        <v>246</v>
      </c>
      <c r="B257" s="16">
        <f t="shared" ca="1" si="13"/>
        <v>0.81732597604793433</v>
      </c>
      <c r="F257" s="16">
        <f t="shared" ca="1" si="14"/>
        <v>0.90522151132711182</v>
      </c>
      <c r="J257" s="16">
        <f t="shared" ca="1" si="15"/>
        <v>43.696848686489368</v>
      </c>
    </row>
    <row r="258" spans="1:10" x14ac:dyDescent="0.3">
      <c r="A258" s="16">
        <f t="shared" si="16"/>
        <v>247</v>
      </c>
      <c r="B258" s="16">
        <f t="shared" ca="1" si="13"/>
        <v>0.10524458837077344</v>
      </c>
      <c r="F258" s="16">
        <f t="shared" ca="1" si="14"/>
        <v>-1.2522214644794403</v>
      </c>
      <c r="J258" s="16">
        <f t="shared" ca="1" si="15"/>
        <v>43.032536794939922</v>
      </c>
    </row>
    <row r="259" spans="1:10" x14ac:dyDescent="0.3">
      <c r="A259" s="16">
        <f t="shared" si="16"/>
        <v>248</v>
      </c>
      <c r="B259" s="16">
        <f t="shared" ca="1" si="13"/>
        <v>0.23934975035914918</v>
      </c>
      <c r="F259" s="16">
        <f t="shared" ca="1" si="14"/>
        <v>-0.70839579870465907</v>
      </c>
      <c r="J259" s="16">
        <f t="shared" ca="1" si="15"/>
        <v>42.670845948733536</v>
      </c>
    </row>
    <row r="260" spans="1:10" x14ac:dyDescent="0.3">
      <c r="A260" s="16">
        <f t="shared" si="16"/>
        <v>249</v>
      </c>
      <c r="B260" s="16">
        <f t="shared" ca="1" si="13"/>
        <v>0.1732812802680328</v>
      </c>
      <c r="F260" s="16">
        <f t="shared" ca="1" si="14"/>
        <v>-0.94127771364021684</v>
      </c>
      <c r="J260" s="16">
        <f t="shared" ca="1" si="15"/>
        <v>42.187737423556079</v>
      </c>
    </row>
    <row r="261" spans="1:10" x14ac:dyDescent="0.3">
      <c r="A261" s="16">
        <f t="shared" si="16"/>
        <v>250</v>
      </c>
      <c r="B261" s="16">
        <f t="shared" ca="1" si="13"/>
        <v>8.8847532312291255E-2</v>
      </c>
      <c r="F261" s="16">
        <f t="shared" ca="1" si="14"/>
        <v>-1.3478859595533872</v>
      </c>
      <c r="J261" s="16">
        <f t="shared" ca="1" si="15"/>
        <v>41.496124519393391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B37FF-F71C-450B-8848-D3E64F90DD4B}">
  <dimension ref="A2:L269"/>
  <sheetViews>
    <sheetView workbookViewId="0">
      <selection activeCell="O15" sqref="O15"/>
    </sheetView>
  </sheetViews>
  <sheetFormatPr defaultRowHeight="14.4" x14ac:dyDescent="0.3"/>
  <cols>
    <col min="1" max="2" width="8.88671875" style="16"/>
    <col min="3" max="3" width="10.77734375" style="16" bestFit="1" customWidth="1"/>
    <col min="4" max="16384" width="8.88671875" style="16"/>
  </cols>
  <sheetData>
    <row r="2" spans="2:12" x14ac:dyDescent="0.3">
      <c r="B2" s="16" t="s">
        <v>153</v>
      </c>
    </row>
    <row r="4" spans="2:12" x14ac:dyDescent="0.3">
      <c r="B4" s="16" t="s">
        <v>154</v>
      </c>
      <c r="E4" s="16">
        <v>30</v>
      </c>
    </row>
    <row r="5" spans="2:12" x14ac:dyDescent="0.3">
      <c r="B5" s="16" t="s">
        <v>155</v>
      </c>
      <c r="E5" s="2">
        <v>0.1</v>
      </c>
    </row>
    <row r="6" spans="2:12" x14ac:dyDescent="0.3">
      <c r="B6" s="16" t="s">
        <v>156</v>
      </c>
      <c r="E6" s="2">
        <v>0.3</v>
      </c>
    </row>
    <row r="7" spans="2:12" x14ac:dyDescent="0.3">
      <c r="B7" s="16" t="s">
        <v>157</v>
      </c>
      <c r="E7" s="16">
        <v>4.0000000000000001E-3</v>
      </c>
      <c r="F7" s="16" t="s">
        <v>158</v>
      </c>
    </row>
    <row r="8" spans="2:12" x14ac:dyDescent="0.3">
      <c r="B8" s="16" t="s">
        <v>159</v>
      </c>
      <c r="E8" s="16">
        <v>25</v>
      </c>
    </row>
    <row r="9" spans="2:12" x14ac:dyDescent="0.3">
      <c r="B9" s="16" t="s">
        <v>160</v>
      </c>
      <c r="E9" s="2">
        <v>0.1</v>
      </c>
    </row>
    <row r="10" spans="2:12" x14ac:dyDescent="0.3">
      <c r="B10" s="16" t="s">
        <v>161</v>
      </c>
      <c r="E10" s="2"/>
      <c r="F10" s="16">
        <v>1</v>
      </c>
    </row>
    <row r="12" spans="2:12" x14ac:dyDescent="0.3">
      <c r="B12" s="16" t="s">
        <v>132</v>
      </c>
      <c r="C12" s="16" t="s">
        <v>162</v>
      </c>
      <c r="D12" s="16" t="s">
        <v>163</v>
      </c>
      <c r="E12" s="16" t="s">
        <v>164</v>
      </c>
      <c r="F12" s="16" t="s">
        <v>165</v>
      </c>
      <c r="G12" s="16" t="s">
        <v>166</v>
      </c>
      <c r="H12" s="16" t="s">
        <v>167</v>
      </c>
      <c r="I12" s="16" t="s">
        <v>168</v>
      </c>
      <c r="J12" s="16" t="s">
        <v>169</v>
      </c>
      <c r="K12" s="16" t="s">
        <v>170</v>
      </c>
      <c r="L12" s="16" t="s">
        <v>171</v>
      </c>
    </row>
    <row r="13" spans="2:12" x14ac:dyDescent="0.3">
      <c r="B13" s="16">
        <v>0</v>
      </c>
      <c r="C13" s="16">
        <v>30</v>
      </c>
      <c r="D13" s="16">
        <v>30</v>
      </c>
      <c r="E13" s="16">
        <v>30</v>
      </c>
      <c r="F13" s="16">
        <v>30</v>
      </c>
      <c r="G13" s="16">
        <v>30</v>
      </c>
      <c r="H13" s="16">
        <v>30</v>
      </c>
      <c r="I13" s="16">
        <v>30</v>
      </c>
      <c r="J13" s="16">
        <v>30</v>
      </c>
      <c r="K13" s="16">
        <v>30</v>
      </c>
      <c r="L13" s="16">
        <v>30</v>
      </c>
    </row>
    <row r="14" spans="2:12" x14ac:dyDescent="0.3">
      <c r="B14" s="16">
        <f>B13+1</f>
        <v>1</v>
      </c>
      <c r="C14" s="16">
        <f t="shared" ref="C14:L29" ca="1" si="0">C13*EXP(($E$5-0.5*$E$6*$E$6)*$E$7+$E$6*SQRT($E$7)*_xlfn.NORM.S.INV(RAND()))</f>
        <v>29.821510957715013</v>
      </c>
      <c r="D14" s="16">
        <f t="shared" ca="1" si="0"/>
        <v>30.155844342834094</v>
      </c>
      <c r="E14" s="16">
        <f t="shared" ca="1" si="0"/>
        <v>30.595695602808867</v>
      </c>
      <c r="F14" s="16">
        <f t="shared" ca="1" si="0"/>
        <v>28.994491591834322</v>
      </c>
      <c r="G14" s="16">
        <f t="shared" ca="1" si="0"/>
        <v>30.414465284522045</v>
      </c>
      <c r="H14" s="16">
        <f t="shared" ca="1" si="0"/>
        <v>30.373932751368535</v>
      </c>
      <c r="I14" s="16">
        <f t="shared" ca="1" si="0"/>
        <v>30.245382325313567</v>
      </c>
      <c r="J14" s="16">
        <f t="shared" ca="1" si="0"/>
        <v>29.001788202368754</v>
      </c>
      <c r="K14" s="16">
        <f t="shared" ca="1" si="0"/>
        <v>29.783886854244823</v>
      </c>
      <c r="L14" s="16">
        <f t="shared" ca="1" si="0"/>
        <v>30.468987307251783</v>
      </c>
    </row>
    <row r="15" spans="2:12" x14ac:dyDescent="0.3">
      <c r="B15" s="16">
        <f t="shared" ref="B15:B78" si="1">B14+1</f>
        <v>2</v>
      </c>
      <c r="C15" s="16">
        <f t="shared" ca="1" si="0"/>
        <v>29.697857527869601</v>
      </c>
      <c r="D15" s="16">
        <f t="shared" ca="1" si="0"/>
        <v>29.989866647569091</v>
      </c>
      <c r="E15" s="16">
        <f t="shared" ca="1" si="0"/>
        <v>30.28517536270834</v>
      </c>
      <c r="F15" s="16">
        <f t="shared" ca="1" si="0"/>
        <v>28.549513048847775</v>
      </c>
      <c r="G15" s="16">
        <f t="shared" ca="1" si="0"/>
        <v>31.387668835980701</v>
      </c>
      <c r="H15" s="16">
        <f t="shared" ca="1" si="0"/>
        <v>30.91950803837015</v>
      </c>
      <c r="I15" s="16">
        <f t="shared" ca="1" si="0"/>
        <v>29.873753366787515</v>
      </c>
      <c r="J15" s="16">
        <f t="shared" ca="1" si="0"/>
        <v>28.702358214789385</v>
      </c>
      <c r="K15" s="16">
        <f t="shared" ca="1" si="0"/>
        <v>29.833739438100096</v>
      </c>
      <c r="L15" s="16">
        <f t="shared" ca="1" si="0"/>
        <v>31.656216394821588</v>
      </c>
    </row>
    <row r="16" spans="2:12" x14ac:dyDescent="0.3">
      <c r="B16" s="16">
        <f t="shared" si="1"/>
        <v>3</v>
      </c>
      <c r="C16" s="16">
        <f t="shared" ca="1" si="0"/>
        <v>29.525519785423064</v>
      </c>
      <c r="D16" s="16">
        <f t="shared" ca="1" si="0"/>
        <v>29.360550464705607</v>
      </c>
      <c r="E16" s="16">
        <f t="shared" ca="1" si="0"/>
        <v>29.879824331635394</v>
      </c>
      <c r="F16" s="16">
        <f t="shared" ca="1" si="0"/>
        <v>27.720824117293194</v>
      </c>
      <c r="G16" s="16">
        <f t="shared" ca="1" si="0"/>
        <v>31.13936302756667</v>
      </c>
      <c r="H16" s="16">
        <f t="shared" ca="1" si="0"/>
        <v>31.668576182852959</v>
      </c>
      <c r="I16" s="16">
        <f t="shared" ca="1" si="0"/>
        <v>30.146612447123978</v>
      </c>
      <c r="J16" s="16">
        <f t="shared" ca="1" si="0"/>
        <v>29.494987587676281</v>
      </c>
      <c r="K16" s="16">
        <f t="shared" ca="1" si="0"/>
        <v>28.922677297771063</v>
      </c>
      <c r="L16" s="16">
        <f t="shared" ca="1" si="0"/>
        <v>31.267105034708827</v>
      </c>
    </row>
    <row r="17" spans="2:12" x14ac:dyDescent="0.3">
      <c r="B17" s="16">
        <f t="shared" si="1"/>
        <v>4</v>
      </c>
      <c r="C17" s="16">
        <f t="shared" ca="1" si="0"/>
        <v>30.380194047990944</v>
      </c>
      <c r="D17" s="16">
        <f t="shared" ca="1" si="0"/>
        <v>29.613151832805119</v>
      </c>
      <c r="E17" s="16">
        <f t="shared" ca="1" si="0"/>
        <v>29.141830707316458</v>
      </c>
      <c r="F17" s="16">
        <f t="shared" ca="1" si="0"/>
        <v>27.131468263612025</v>
      </c>
      <c r="G17" s="16">
        <f t="shared" ca="1" si="0"/>
        <v>31.303936471263583</v>
      </c>
      <c r="H17" s="16">
        <f t="shared" ca="1" si="0"/>
        <v>31.917776785611998</v>
      </c>
      <c r="I17" s="16">
        <f t="shared" ca="1" si="0"/>
        <v>30.348232043045883</v>
      </c>
      <c r="J17" s="16">
        <f t="shared" ca="1" si="0"/>
        <v>30.638031347340245</v>
      </c>
      <c r="K17" s="16">
        <f t="shared" ca="1" si="0"/>
        <v>28.742279243933247</v>
      </c>
      <c r="L17" s="16">
        <f t="shared" ca="1" si="0"/>
        <v>31.225944815861357</v>
      </c>
    </row>
    <row r="18" spans="2:12" x14ac:dyDescent="0.3">
      <c r="B18" s="16">
        <f t="shared" si="1"/>
        <v>5</v>
      </c>
      <c r="C18" s="16">
        <f t="shared" ca="1" si="0"/>
        <v>30.227169338857639</v>
      </c>
      <c r="D18" s="16">
        <f t="shared" ca="1" si="0"/>
        <v>30.131615999937946</v>
      </c>
      <c r="E18" s="16">
        <f t="shared" ca="1" si="0"/>
        <v>29.243995385940892</v>
      </c>
      <c r="F18" s="16">
        <f t="shared" ca="1" si="0"/>
        <v>27.287533744375818</v>
      </c>
      <c r="G18" s="16">
        <f t="shared" ca="1" si="0"/>
        <v>31.806942674131236</v>
      </c>
      <c r="H18" s="16">
        <f t="shared" ca="1" si="0"/>
        <v>31.429088006623708</v>
      </c>
      <c r="I18" s="16">
        <f t="shared" ca="1" si="0"/>
        <v>30.02345107711756</v>
      </c>
      <c r="J18" s="16">
        <f t="shared" ca="1" si="0"/>
        <v>30.825007455250166</v>
      </c>
      <c r="K18" s="16">
        <f t="shared" ca="1" si="0"/>
        <v>30.079123393233338</v>
      </c>
      <c r="L18" s="16">
        <f t="shared" ca="1" si="0"/>
        <v>32.251578461712704</v>
      </c>
    </row>
    <row r="19" spans="2:12" x14ac:dyDescent="0.3">
      <c r="B19" s="16">
        <f t="shared" si="1"/>
        <v>6</v>
      </c>
      <c r="C19" s="16">
        <f t="shared" ca="1" si="0"/>
        <v>29.560110525153114</v>
      </c>
      <c r="D19" s="16">
        <f t="shared" ca="1" si="0"/>
        <v>29.862821646381178</v>
      </c>
      <c r="E19" s="16">
        <f t="shared" ca="1" si="0"/>
        <v>29.405601423409184</v>
      </c>
      <c r="F19" s="16">
        <f t="shared" ca="1" si="0"/>
        <v>26.479046667076982</v>
      </c>
      <c r="G19" s="16">
        <f t="shared" ca="1" si="0"/>
        <v>31.588711746085952</v>
      </c>
      <c r="H19" s="16">
        <f t="shared" ca="1" si="0"/>
        <v>32.068715900864277</v>
      </c>
      <c r="I19" s="16">
        <f t="shared" ca="1" si="0"/>
        <v>30.022865513612182</v>
      </c>
      <c r="J19" s="16">
        <f t="shared" ca="1" si="0"/>
        <v>30.003196712016678</v>
      </c>
      <c r="K19" s="16">
        <f t="shared" ca="1" si="0"/>
        <v>30.314210429782808</v>
      </c>
      <c r="L19" s="16">
        <f t="shared" ca="1" si="0"/>
        <v>32.775223848012416</v>
      </c>
    </row>
    <row r="20" spans="2:12" x14ac:dyDescent="0.3">
      <c r="B20" s="16">
        <f t="shared" si="1"/>
        <v>7</v>
      </c>
      <c r="C20" s="16">
        <f t="shared" ca="1" si="0"/>
        <v>29.601207616595936</v>
      </c>
      <c r="D20" s="16">
        <f t="shared" ca="1" si="0"/>
        <v>30.114807585133033</v>
      </c>
      <c r="E20" s="16">
        <f t="shared" ca="1" si="0"/>
        <v>28.759681331414033</v>
      </c>
      <c r="F20" s="16">
        <f t="shared" ca="1" si="0"/>
        <v>27.154864687407901</v>
      </c>
      <c r="G20" s="16">
        <f t="shared" ca="1" si="0"/>
        <v>31.354488231182923</v>
      </c>
      <c r="H20" s="16">
        <f t="shared" ca="1" si="0"/>
        <v>32.06880202592923</v>
      </c>
      <c r="I20" s="16">
        <f t="shared" ca="1" si="0"/>
        <v>30.431155145790914</v>
      </c>
      <c r="J20" s="16">
        <f t="shared" ca="1" si="0"/>
        <v>30.563670102015557</v>
      </c>
      <c r="K20" s="16">
        <f t="shared" ca="1" si="0"/>
        <v>30.793402818827492</v>
      </c>
      <c r="L20" s="16">
        <f t="shared" ca="1" si="0"/>
        <v>32.616117439815184</v>
      </c>
    </row>
    <row r="21" spans="2:12" x14ac:dyDescent="0.3">
      <c r="B21" s="16">
        <f t="shared" si="1"/>
        <v>8</v>
      </c>
      <c r="C21" s="16">
        <f t="shared" ca="1" si="0"/>
        <v>29.500241558021994</v>
      </c>
      <c r="D21" s="16">
        <f t="shared" ca="1" si="0"/>
        <v>29.497431371360516</v>
      </c>
      <c r="E21" s="16">
        <f t="shared" ca="1" si="0"/>
        <v>28.271618449018124</v>
      </c>
      <c r="F21" s="16">
        <f t="shared" ca="1" si="0"/>
        <v>26.664528234030744</v>
      </c>
      <c r="G21" s="16">
        <f t="shared" ca="1" si="0"/>
        <v>30.91106094528072</v>
      </c>
      <c r="H21" s="16">
        <f t="shared" ca="1" si="0"/>
        <v>32.31991420853182</v>
      </c>
      <c r="I21" s="16">
        <f t="shared" ca="1" si="0"/>
        <v>30.460022331081511</v>
      </c>
      <c r="J21" s="16">
        <f t="shared" ca="1" si="0"/>
        <v>29.146120114135986</v>
      </c>
      <c r="K21" s="16">
        <f t="shared" ca="1" si="0"/>
        <v>30.990401177551167</v>
      </c>
      <c r="L21" s="16">
        <f t="shared" ca="1" si="0"/>
        <v>31.554993017338777</v>
      </c>
    </row>
    <row r="22" spans="2:12" x14ac:dyDescent="0.3">
      <c r="B22" s="16">
        <f t="shared" si="1"/>
        <v>9</v>
      </c>
      <c r="C22" s="16">
        <f t="shared" ca="1" si="0"/>
        <v>29.487519142039631</v>
      </c>
      <c r="D22" s="16">
        <f t="shared" ca="1" si="0"/>
        <v>28.836854323269524</v>
      </c>
      <c r="E22" s="16">
        <f t="shared" ca="1" si="0"/>
        <v>28.585334750441767</v>
      </c>
      <c r="F22" s="16">
        <f t="shared" ca="1" si="0"/>
        <v>26.76303018361827</v>
      </c>
      <c r="G22" s="16">
        <f t="shared" ca="1" si="0"/>
        <v>31.505849940379761</v>
      </c>
      <c r="H22" s="16">
        <f t="shared" ca="1" si="0"/>
        <v>32.972001508725882</v>
      </c>
      <c r="I22" s="16">
        <f t="shared" ca="1" si="0"/>
        <v>30.411201114668405</v>
      </c>
      <c r="J22" s="16">
        <f t="shared" ca="1" si="0"/>
        <v>28.397466995600894</v>
      </c>
      <c r="K22" s="16">
        <f t="shared" ca="1" si="0"/>
        <v>31.591835592954482</v>
      </c>
      <c r="L22" s="16">
        <f t="shared" ca="1" si="0"/>
        <v>31.799288028796628</v>
      </c>
    </row>
    <row r="23" spans="2:12" x14ac:dyDescent="0.3">
      <c r="B23" s="16">
        <f t="shared" si="1"/>
        <v>10</v>
      </c>
      <c r="C23" s="16">
        <f t="shared" ca="1" si="0"/>
        <v>29.120115394980772</v>
      </c>
      <c r="D23" s="16">
        <f t="shared" ca="1" si="0"/>
        <v>28.352746252516024</v>
      </c>
      <c r="E23" s="16">
        <f t="shared" ca="1" si="0"/>
        <v>28.78249247364192</v>
      </c>
      <c r="F23" s="16">
        <f t="shared" ca="1" si="0"/>
        <v>27.082917974574027</v>
      </c>
      <c r="G23" s="16">
        <f t="shared" ca="1" si="0"/>
        <v>32.64093860722209</v>
      </c>
      <c r="H23" s="16">
        <f t="shared" ca="1" si="0"/>
        <v>33.095933584835308</v>
      </c>
      <c r="I23" s="16">
        <f t="shared" ca="1" si="0"/>
        <v>30.946782372649107</v>
      </c>
      <c r="J23" s="16">
        <f t="shared" ca="1" si="0"/>
        <v>28.533662170190539</v>
      </c>
      <c r="K23" s="16">
        <f t="shared" ca="1" si="0"/>
        <v>32.052546349943434</v>
      </c>
      <c r="L23" s="16">
        <f t="shared" ca="1" si="0"/>
        <v>32.480487487829201</v>
      </c>
    </row>
    <row r="24" spans="2:12" x14ac:dyDescent="0.3">
      <c r="B24" s="16">
        <f t="shared" si="1"/>
        <v>11</v>
      </c>
      <c r="C24" s="16">
        <f t="shared" ca="1" si="0"/>
        <v>28.742208048384967</v>
      </c>
      <c r="D24" s="16">
        <f t="shared" ca="1" si="0"/>
        <v>28.328919376751546</v>
      </c>
      <c r="E24" s="16">
        <f t="shared" ca="1" si="0"/>
        <v>28.797524700450957</v>
      </c>
      <c r="F24" s="16">
        <f t="shared" ca="1" si="0"/>
        <v>27.308723763476166</v>
      </c>
      <c r="G24" s="16">
        <f t="shared" ca="1" si="0"/>
        <v>33.398242883200076</v>
      </c>
      <c r="H24" s="16">
        <f t="shared" ca="1" si="0"/>
        <v>32.269988779123878</v>
      </c>
      <c r="I24" s="16">
        <f t="shared" ca="1" si="0"/>
        <v>29.879135195706031</v>
      </c>
      <c r="J24" s="16">
        <f t="shared" ca="1" si="0"/>
        <v>28.206973180988431</v>
      </c>
      <c r="K24" s="16">
        <f t="shared" ca="1" si="0"/>
        <v>32.451323352525215</v>
      </c>
      <c r="L24" s="16">
        <f t="shared" ca="1" si="0"/>
        <v>32.811708385554262</v>
      </c>
    </row>
    <row r="25" spans="2:12" x14ac:dyDescent="0.3">
      <c r="B25" s="16">
        <f t="shared" si="1"/>
        <v>12</v>
      </c>
      <c r="C25" s="16">
        <f t="shared" ca="1" si="0"/>
        <v>29.366506023262726</v>
      </c>
      <c r="D25" s="16">
        <f t="shared" ca="1" si="0"/>
        <v>28.390416846348934</v>
      </c>
      <c r="E25" s="16">
        <f t="shared" ca="1" si="0"/>
        <v>28.702647649436106</v>
      </c>
      <c r="F25" s="16">
        <f t="shared" ca="1" si="0"/>
        <v>26.596428357240811</v>
      </c>
      <c r="G25" s="16">
        <f t="shared" ca="1" si="0"/>
        <v>33.153457768937301</v>
      </c>
      <c r="H25" s="16">
        <f t="shared" ca="1" si="0"/>
        <v>32.688916345801232</v>
      </c>
      <c r="I25" s="16">
        <f t="shared" ca="1" si="0"/>
        <v>30.34021284190797</v>
      </c>
      <c r="J25" s="16">
        <f t="shared" ca="1" si="0"/>
        <v>29.568811901214442</v>
      </c>
      <c r="K25" s="16">
        <f t="shared" ca="1" si="0"/>
        <v>31.954539457540214</v>
      </c>
      <c r="L25" s="16">
        <f t="shared" ca="1" si="0"/>
        <v>32.338646935552639</v>
      </c>
    </row>
    <row r="26" spans="2:12" x14ac:dyDescent="0.3">
      <c r="B26" s="16">
        <f t="shared" si="1"/>
        <v>13</v>
      </c>
      <c r="C26" s="16">
        <f t="shared" ca="1" si="0"/>
        <v>28.460183160047247</v>
      </c>
      <c r="D26" s="16">
        <f t="shared" ca="1" si="0"/>
        <v>28.214208153214376</v>
      </c>
      <c r="E26" s="16">
        <f t="shared" ca="1" si="0"/>
        <v>29.127829139457745</v>
      </c>
      <c r="F26" s="16">
        <f t="shared" ca="1" si="0"/>
        <v>26.550208273078059</v>
      </c>
      <c r="G26" s="16">
        <f t="shared" ca="1" si="0"/>
        <v>33.940178044234045</v>
      </c>
      <c r="H26" s="16">
        <f t="shared" ca="1" si="0"/>
        <v>32.907231693634529</v>
      </c>
      <c r="I26" s="16">
        <f t="shared" ca="1" si="0"/>
        <v>29.756841549431336</v>
      </c>
      <c r="J26" s="16">
        <f t="shared" ca="1" si="0"/>
        <v>30.011142368649022</v>
      </c>
      <c r="K26" s="16">
        <f t="shared" ca="1" si="0"/>
        <v>31.494184605926545</v>
      </c>
      <c r="L26" s="16">
        <f t="shared" ca="1" si="0"/>
        <v>31.949455800385909</v>
      </c>
    </row>
    <row r="27" spans="2:12" x14ac:dyDescent="0.3">
      <c r="B27" s="16">
        <f t="shared" si="1"/>
        <v>14</v>
      </c>
      <c r="C27" s="16">
        <f t="shared" ca="1" si="0"/>
        <v>28.846210238496734</v>
      </c>
      <c r="D27" s="16">
        <f t="shared" ca="1" si="0"/>
        <v>27.850131181911117</v>
      </c>
      <c r="E27" s="16">
        <f t="shared" ca="1" si="0"/>
        <v>29.112019543596478</v>
      </c>
      <c r="F27" s="16">
        <f t="shared" ca="1" si="0"/>
        <v>26.650574652378953</v>
      </c>
      <c r="G27" s="16">
        <f t="shared" ca="1" si="0"/>
        <v>33.933206316493212</v>
      </c>
      <c r="H27" s="16">
        <f t="shared" ca="1" si="0"/>
        <v>32.275833374065158</v>
      </c>
      <c r="I27" s="16">
        <f t="shared" ca="1" si="0"/>
        <v>30.066366285144955</v>
      </c>
      <c r="J27" s="16">
        <f t="shared" ca="1" si="0"/>
        <v>29.72657173801079</v>
      </c>
      <c r="K27" s="16">
        <f t="shared" ca="1" si="0"/>
        <v>30.922361859662807</v>
      </c>
      <c r="L27" s="16">
        <f t="shared" ca="1" si="0"/>
        <v>31.901729807888017</v>
      </c>
    </row>
    <row r="28" spans="2:12" x14ac:dyDescent="0.3">
      <c r="B28" s="16">
        <f t="shared" si="1"/>
        <v>15</v>
      </c>
      <c r="C28" s="16">
        <f t="shared" ca="1" si="0"/>
        <v>28.850926470014425</v>
      </c>
      <c r="D28" s="16">
        <f t="shared" ca="1" si="0"/>
        <v>27.533206289848842</v>
      </c>
      <c r="E28" s="16">
        <f t="shared" ca="1" si="0"/>
        <v>29.518005512962535</v>
      </c>
      <c r="F28" s="16">
        <f t="shared" ca="1" si="0"/>
        <v>27.083795468774365</v>
      </c>
      <c r="G28" s="16">
        <f t="shared" ca="1" si="0"/>
        <v>34.75075969331867</v>
      </c>
      <c r="H28" s="16">
        <f t="shared" ca="1" si="0"/>
        <v>33.431192248976181</v>
      </c>
      <c r="I28" s="16">
        <f t="shared" ca="1" si="0"/>
        <v>29.676584527090267</v>
      </c>
      <c r="J28" s="16">
        <f t="shared" ca="1" si="0"/>
        <v>29.286186623164863</v>
      </c>
      <c r="K28" s="16">
        <f t="shared" ca="1" si="0"/>
        <v>31.205665072701755</v>
      </c>
      <c r="L28" s="16">
        <f t="shared" ca="1" si="0"/>
        <v>31.23573790785591</v>
      </c>
    </row>
    <row r="29" spans="2:12" x14ac:dyDescent="0.3">
      <c r="B29" s="16">
        <f t="shared" si="1"/>
        <v>16</v>
      </c>
      <c r="C29" s="16">
        <f t="shared" ca="1" si="0"/>
        <v>28.581231827073477</v>
      </c>
      <c r="D29" s="16">
        <f t="shared" ca="1" si="0"/>
        <v>28.498048429998047</v>
      </c>
      <c r="E29" s="16">
        <f t="shared" ca="1" si="0"/>
        <v>28.923962914164719</v>
      </c>
      <c r="F29" s="16">
        <f t="shared" ca="1" si="0"/>
        <v>27.285086226559507</v>
      </c>
      <c r="G29" s="16">
        <f t="shared" ca="1" si="0"/>
        <v>34.716777333980545</v>
      </c>
      <c r="H29" s="16">
        <f t="shared" ca="1" si="0"/>
        <v>33.340979625670904</v>
      </c>
      <c r="I29" s="16">
        <f t="shared" ca="1" si="0"/>
        <v>28.967875733227007</v>
      </c>
      <c r="J29" s="16">
        <f t="shared" ca="1" si="0"/>
        <v>28.824565741711279</v>
      </c>
      <c r="K29" s="16">
        <f t="shared" ca="1" si="0"/>
        <v>31.47853946798126</v>
      </c>
      <c r="L29" s="16">
        <f t="shared" ca="1" si="0"/>
        <v>31.274097606159948</v>
      </c>
    </row>
    <row r="30" spans="2:12" x14ac:dyDescent="0.3">
      <c r="B30" s="16">
        <f t="shared" si="1"/>
        <v>17</v>
      </c>
      <c r="C30" s="16">
        <f t="shared" ref="C30:L45" ca="1" si="2">C29*EXP(($E$5-0.5*$E$6*$E$6)*$E$7+$E$6*SQRT($E$7)*_xlfn.NORM.S.INV(RAND()))</f>
        <v>29.038015045140863</v>
      </c>
      <c r="D30" s="16">
        <f t="shared" ca="1" si="2"/>
        <v>27.975122547967654</v>
      </c>
      <c r="E30" s="16">
        <f t="shared" ca="1" si="2"/>
        <v>28.980127592282404</v>
      </c>
      <c r="F30" s="16">
        <f t="shared" ca="1" si="2"/>
        <v>28.079382785873285</v>
      </c>
      <c r="G30" s="16">
        <f t="shared" ca="1" si="2"/>
        <v>36.039458181923003</v>
      </c>
      <c r="H30" s="16">
        <f t="shared" ca="1" si="2"/>
        <v>33.325797275274795</v>
      </c>
      <c r="I30" s="16">
        <f t="shared" ca="1" si="2"/>
        <v>29.499433090656321</v>
      </c>
      <c r="J30" s="16">
        <f t="shared" ca="1" si="2"/>
        <v>29.313579309924677</v>
      </c>
      <c r="K30" s="16">
        <f t="shared" ca="1" si="2"/>
        <v>31.512806996238915</v>
      </c>
      <c r="L30" s="16">
        <f t="shared" ca="1" si="2"/>
        <v>30.80892861201432</v>
      </c>
    </row>
    <row r="31" spans="2:12" x14ac:dyDescent="0.3">
      <c r="B31" s="16">
        <f t="shared" si="1"/>
        <v>18</v>
      </c>
      <c r="C31" s="16">
        <f t="shared" ca="1" si="2"/>
        <v>29.754558219317794</v>
      </c>
      <c r="D31" s="16">
        <f t="shared" ca="1" si="2"/>
        <v>27.122126336857541</v>
      </c>
      <c r="E31" s="16">
        <f t="shared" ca="1" si="2"/>
        <v>29.343208876485747</v>
      </c>
      <c r="F31" s="16">
        <f t="shared" ca="1" si="2"/>
        <v>28.992504774235965</v>
      </c>
      <c r="G31" s="16">
        <f t="shared" ca="1" si="2"/>
        <v>36.208641375930604</v>
      </c>
      <c r="H31" s="16">
        <f t="shared" ca="1" si="2"/>
        <v>31.787927302254857</v>
      </c>
      <c r="I31" s="16">
        <f t="shared" ca="1" si="2"/>
        <v>29.43887754610957</v>
      </c>
      <c r="J31" s="16">
        <f t="shared" ca="1" si="2"/>
        <v>29.200056871786181</v>
      </c>
      <c r="K31" s="16">
        <f t="shared" ca="1" si="2"/>
        <v>32.555932352377674</v>
      </c>
      <c r="L31" s="16">
        <f t="shared" ca="1" si="2"/>
        <v>30.520602795615055</v>
      </c>
    </row>
    <row r="32" spans="2:12" x14ac:dyDescent="0.3">
      <c r="B32" s="16">
        <f t="shared" si="1"/>
        <v>19</v>
      </c>
      <c r="C32" s="16">
        <f t="shared" ca="1" si="2"/>
        <v>29.944862453985763</v>
      </c>
      <c r="D32" s="16">
        <f t="shared" ca="1" si="2"/>
        <v>26.137711258761446</v>
      </c>
      <c r="E32" s="16">
        <f t="shared" ca="1" si="2"/>
        <v>29.597100791101401</v>
      </c>
      <c r="F32" s="16">
        <f t="shared" ca="1" si="2"/>
        <v>29.344025964585487</v>
      </c>
      <c r="G32" s="16">
        <f t="shared" ca="1" si="2"/>
        <v>36.928952574939899</v>
      </c>
      <c r="H32" s="16">
        <f t="shared" ca="1" si="2"/>
        <v>31.292803601063039</v>
      </c>
      <c r="I32" s="16">
        <f t="shared" ca="1" si="2"/>
        <v>30.19153582396833</v>
      </c>
      <c r="J32" s="16">
        <f t="shared" ca="1" si="2"/>
        <v>29.067838054990634</v>
      </c>
      <c r="K32" s="16">
        <f t="shared" ca="1" si="2"/>
        <v>32.678928488785076</v>
      </c>
      <c r="L32" s="16">
        <f t="shared" ca="1" si="2"/>
        <v>30.393676089077864</v>
      </c>
    </row>
    <row r="33" spans="2:12" x14ac:dyDescent="0.3">
      <c r="B33" s="16">
        <f t="shared" si="1"/>
        <v>20</v>
      </c>
      <c r="C33" s="16">
        <f t="shared" ca="1" si="2"/>
        <v>30.749825882877285</v>
      </c>
      <c r="D33" s="16">
        <f t="shared" ca="1" si="2"/>
        <v>25.98137025904709</v>
      </c>
      <c r="E33" s="16">
        <f t="shared" ca="1" si="2"/>
        <v>29.710601442838051</v>
      </c>
      <c r="F33" s="16">
        <f t="shared" ca="1" si="2"/>
        <v>29.888291284191698</v>
      </c>
      <c r="G33" s="16">
        <f t="shared" ca="1" si="2"/>
        <v>37.61465803255566</v>
      </c>
      <c r="H33" s="16">
        <f t="shared" ca="1" si="2"/>
        <v>30.827707939700055</v>
      </c>
      <c r="I33" s="16">
        <f t="shared" ca="1" si="2"/>
        <v>31.002296360410064</v>
      </c>
      <c r="J33" s="16">
        <f t="shared" ca="1" si="2"/>
        <v>29.156585102750512</v>
      </c>
      <c r="K33" s="16">
        <f t="shared" ca="1" si="2"/>
        <v>32.481832759958571</v>
      </c>
      <c r="L33" s="16">
        <f t="shared" ca="1" si="2"/>
        <v>30.185215467772217</v>
      </c>
    </row>
    <row r="34" spans="2:12" x14ac:dyDescent="0.3">
      <c r="B34" s="16">
        <f t="shared" si="1"/>
        <v>21</v>
      </c>
      <c r="C34" s="16">
        <f t="shared" ca="1" si="2"/>
        <v>30.404896171115912</v>
      </c>
      <c r="D34" s="16">
        <f t="shared" ca="1" si="2"/>
        <v>25.935598020212502</v>
      </c>
      <c r="E34" s="16">
        <f t="shared" ca="1" si="2"/>
        <v>30.184508057920112</v>
      </c>
      <c r="F34" s="16">
        <f t="shared" ca="1" si="2"/>
        <v>29.979324908927509</v>
      </c>
      <c r="G34" s="16">
        <f t="shared" ca="1" si="2"/>
        <v>37.901187642281947</v>
      </c>
      <c r="H34" s="16">
        <f t="shared" ca="1" si="2"/>
        <v>30.836647802555511</v>
      </c>
      <c r="I34" s="16">
        <f t="shared" ca="1" si="2"/>
        <v>31.349979332278707</v>
      </c>
      <c r="J34" s="16">
        <f t="shared" ca="1" si="2"/>
        <v>29.474221433029555</v>
      </c>
      <c r="K34" s="16">
        <f t="shared" ca="1" si="2"/>
        <v>33.540722144986439</v>
      </c>
      <c r="L34" s="16">
        <f t="shared" ca="1" si="2"/>
        <v>30.291637387543247</v>
      </c>
    </row>
    <row r="35" spans="2:12" x14ac:dyDescent="0.3">
      <c r="B35" s="16">
        <f t="shared" si="1"/>
        <v>22</v>
      </c>
      <c r="C35" s="16">
        <f t="shared" ca="1" si="2"/>
        <v>29.886379466984646</v>
      </c>
      <c r="D35" s="16">
        <f t="shared" ca="1" si="2"/>
        <v>26.891876493783222</v>
      </c>
      <c r="E35" s="16">
        <f t="shared" ca="1" si="2"/>
        <v>29.631891813570071</v>
      </c>
      <c r="F35" s="16">
        <f t="shared" ca="1" si="2"/>
        <v>31.013298866116017</v>
      </c>
      <c r="G35" s="16">
        <f t="shared" ca="1" si="2"/>
        <v>37.082439144154698</v>
      </c>
      <c r="H35" s="16">
        <f t="shared" ca="1" si="2"/>
        <v>31.184788586283048</v>
      </c>
      <c r="I35" s="16">
        <f t="shared" ca="1" si="2"/>
        <v>31.370653448870385</v>
      </c>
      <c r="J35" s="16">
        <f t="shared" ca="1" si="2"/>
        <v>30.285404719257691</v>
      </c>
      <c r="K35" s="16">
        <f t="shared" ca="1" si="2"/>
        <v>33.622222492891929</v>
      </c>
      <c r="L35" s="16">
        <f t="shared" ca="1" si="2"/>
        <v>29.018354402829821</v>
      </c>
    </row>
    <row r="36" spans="2:12" x14ac:dyDescent="0.3">
      <c r="B36" s="16">
        <f t="shared" si="1"/>
        <v>23</v>
      </c>
      <c r="C36" s="16">
        <f t="shared" ca="1" si="2"/>
        <v>30.201558091926731</v>
      </c>
      <c r="D36" s="16">
        <f t="shared" ca="1" si="2"/>
        <v>26.166286669149383</v>
      </c>
      <c r="E36" s="16">
        <f t="shared" ca="1" si="2"/>
        <v>30.052906550124604</v>
      </c>
      <c r="F36" s="16">
        <f t="shared" ca="1" si="2"/>
        <v>31.320742972609807</v>
      </c>
      <c r="G36" s="16">
        <f t="shared" ca="1" si="2"/>
        <v>36.812411274942754</v>
      </c>
      <c r="H36" s="16">
        <f t="shared" ca="1" si="2"/>
        <v>32.110187146610933</v>
      </c>
      <c r="I36" s="16">
        <f t="shared" ca="1" si="2"/>
        <v>32.325881920617206</v>
      </c>
      <c r="J36" s="16">
        <f t="shared" ca="1" si="2"/>
        <v>30.41912891543517</v>
      </c>
      <c r="K36" s="16">
        <f t="shared" ca="1" si="2"/>
        <v>34.2304029913074</v>
      </c>
      <c r="L36" s="16">
        <f t="shared" ca="1" si="2"/>
        <v>29.523240171415917</v>
      </c>
    </row>
    <row r="37" spans="2:12" x14ac:dyDescent="0.3">
      <c r="B37" s="16">
        <f t="shared" si="1"/>
        <v>24</v>
      </c>
      <c r="C37" s="16">
        <f t="shared" ca="1" si="2"/>
        <v>30.044859843886211</v>
      </c>
      <c r="D37" s="16">
        <f t="shared" ca="1" si="2"/>
        <v>26.873868552117081</v>
      </c>
      <c r="E37" s="16">
        <f t="shared" ca="1" si="2"/>
        <v>30.22511935865133</v>
      </c>
      <c r="F37" s="16">
        <f t="shared" ca="1" si="2"/>
        <v>31.211211633986377</v>
      </c>
      <c r="G37" s="16">
        <f t="shared" ca="1" si="2"/>
        <v>36.81230255919408</v>
      </c>
      <c r="H37" s="16">
        <f t="shared" ca="1" si="2"/>
        <v>31.627225427660711</v>
      </c>
      <c r="I37" s="16">
        <f t="shared" ca="1" si="2"/>
        <v>32.489307701839529</v>
      </c>
      <c r="J37" s="16">
        <f t="shared" ca="1" si="2"/>
        <v>29.840054965509591</v>
      </c>
      <c r="K37" s="16">
        <f t="shared" ca="1" si="2"/>
        <v>33.794080194025149</v>
      </c>
      <c r="L37" s="16">
        <f t="shared" ca="1" si="2"/>
        <v>29.620586903086156</v>
      </c>
    </row>
    <row r="38" spans="2:12" x14ac:dyDescent="0.3">
      <c r="B38" s="16">
        <f t="shared" si="1"/>
        <v>25</v>
      </c>
      <c r="C38" s="16">
        <f t="shared" ca="1" si="2"/>
        <v>29.839150616308796</v>
      </c>
      <c r="D38" s="16">
        <f t="shared" ca="1" si="2"/>
        <v>27.043008509958653</v>
      </c>
      <c r="E38" s="16">
        <f t="shared" ca="1" si="2"/>
        <v>29.395283464655492</v>
      </c>
      <c r="F38" s="16">
        <f t="shared" ca="1" si="2"/>
        <v>31.496774501198669</v>
      </c>
      <c r="G38" s="16">
        <f t="shared" ca="1" si="2"/>
        <v>36.716367050925882</v>
      </c>
      <c r="H38" s="16">
        <f t="shared" ca="1" si="2"/>
        <v>31.465614959825199</v>
      </c>
      <c r="I38" s="16">
        <f t="shared" ca="1" si="2"/>
        <v>32.708379050160005</v>
      </c>
      <c r="J38" s="16">
        <f t="shared" ca="1" si="2"/>
        <v>29.702589359443351</v>
      </c>
      <c r="K38" s="16">
        <f t="shared" ca="1" si="2"/>
        <v>34.769938628847925</v>
      </c>
      <c r="L38" s="16">
        <f t="shared" ca="1" si="2"/>
        <v>29.874241842373692</v>
      </c>
    </row>
    <row r="39" spans="2:12" x14ac:dyDescent="0.3">
      <c r="B39" s="16">
        <f t="shared" si="1"/>
        <v>26</v>
      </c>
      <c r="C39" s="16">
        <f t="shared" ca="1" si="2"/>
        <v>30.305368551415832</v>
      </c>
      <c r="D39" s="16">
        <f t="shared" ca="1" si="2"/>
        <v>27.331635694310993</v>
      </c>
      <c r="E39" s="16">
        <f t="shared" ca="1" si="2"/>
        <v>29.537090094827274</v>
      </c>
      <c r="F39" s="16">
        <f t="shared" ca="1" si="2"/>
        <v>31.983664964554738</v>
      </c>
      <c r="G39" s="16">
        <f t="shared" ca="1" si="2"/>
        <v>37.835193038356508</v>
      </c>
      <c r="H39" s="16">
        <f t="shared" ca="1" si="2"/>
        <v>32.031954730298807</v>
      </c>
      <c r="I39" s="16">
        <f t="shared" ca="1" si="2"/>
        <v>33.080826700120106</v>
      </c>
      <c r="J39" s="16">
        <f t="shared" ca="1" si="2"/>
        <v>30.068282792325732</v>
      </c>
      <c r="K39" s="16">
        <f t="shared" ca="1" si="2"/>
        <v>34.971470154006518</v>
      </c>
      <c r="L39" s="16">
        <f t="shared" ca="1" si="2"/>
        <v>30.826474635774638</v>
      </c>
    </row>
    <row r="40" spans="2:12" x14ac:dyDescent="0.3">
      <c r="B40" s="16">
        <f t="shared" si="1"/>
        <v>27</v>
      </c>
      <c r="C40" s="16">
        <f t="shared" ca="1" si="2"/>
        <v>30.19763420900248</v>
      </c>
      <c r="D40" s="16">
        <f t="shared" ca="1" si="2"/>
        <v>26.808322490096327</v>
      </c>
      <c r="E40" s="16">
        <f t="shared" ca="1" si="2"/>
        <v>29.416118523079774</v>
      </c>
      <c r="F40" s="16">
        <f t="shared" ca="1" si="2"/>
        <v>31.799872554554661</v>
      </c>
      <c r="G40" s="16">
        <f t="shared" ca="1" si="2"/>
        <v>37.913394824310046</v>
      </c>
      <c r="H40" s="16">
        <f t="shared" ca="1" si="2"/>
        <v>32.334726089662077</v>
      </c>
      <c r="I40" s="16">
        <f t="shared" ca="1" si="2"/>
        <v>33.724302820363491</v>
      </c>
      <c r="J40" s="16">
        <f t="shared" ca="1" si="2"/>
        <v>30.508328765771019</v>
      </c>
      <c r="K40" s="16">
        <f t="shared" ca="1" si="2"/>
        <v>34.700351512085071</v>
      </c>
      <c r="L40" s="16">
        <f t="shared" ca="1" si="2"/>
        <v>29.898568616662178</v>
      </c>
    </row>
    <row r="41" spans="2:12" x14ac:dyDescent="0.3">
      <c r="B41" s="16">
        <f t="shared" si="1"/>
        <v>28</v>
      </c>
      <c r="C41" s="16">
        <f t="shared" ca="1" si="2"/>
        <v>30.755763024891433</v>
      </c>
      <c r="D41" s="16">
        <f t="shared" ca="1" si="2"/>
        <v>27.172524605330974</v>
      </c>
      <c r="E41" s="16">
        <f t="shared" ca="1" si="2"/>
        <v>29.564596893030554</v>
      </c>
      <c r="F41" s="16">
        <f t="shared" ca="1" si="2"/>
        <v>31.230608516717595</v>
      </c>
      <c r="G41" s="16">
        <f t="shared" ca="1" si="2"/>
        <v>38.462592762549789</v>
      </c>
      <c r="H41" s="16">
        <f t="shared" ca="1" si="2"/>
        <v>32.606500216039535</v>
      </c>
      <c r="I41" s="16">
        <f t="shared" ca="1" si="2"/>
        <v>34.327195185085777</v>
      </c>
      <c r="J41" s="16">
        <f t="shared" ca="1" si="2"/>
        <v>29.747971702762936</v>
      </c>
      <c r="K41" s="16">
        <f t="shared" ca="1" si="2"/>
        <v>35.244858503530267</v>
      </c>
      <c r="L41" s="16">
        <f t="shared" ca="1" si="2"/>
        <v>29.625456712900785</v>
      </c>
    </row>
    <row r="42" spans="2:12" x14ac:dyDescent="0.3">
      <c r="B42" s="16">
        <f t="shared" si="1"/>
        <v>29</v>
      </c>
      <c r="C42" s="16">
        <f t="shared" ca="1" si="2"/>
        <v>30.155134685507694</v>
      </c>
      <c r="D42" s="16">
        <f t="shared" ca="1" si="2"/>
        <v>26.503192908022307</v>
      </c>
      <c r="E42" s="16">
        <f t="shared" ca="1" si="2"/>
        <v>29.965338430074823</v>
      </c>
      <c r="F42" s="16">
        <f t="shared" ca="1" si="2"/>
        <v>32.091285855458572</v>
      </c>
      <c r="G42" s="16">
        <f t="shared" ca="1" si="2"/>
        <v>39.354493690591106</v>
      </c>
      <c r="H42" s="16">
        <f t="shared" ca="1" si="2"/>
        <v>32.992805826799568</v>
      </c>
      <c r="I42" s="16">
        <f t="shared" ca="1" si="2"/>
        <v>35.696539909297641</v>
      </c>
      <c r="J42" s="16">
        <f t="shared" ca="1" si="2"/>
        <v>28.596596807615043</v>
      </c>
      <c r="K42" s="16">
        <f t="shared" ca="1" si="2"/>
        <v>34.916338977079199</v>
      </c>
      <c r="L42" s="16">
        <f t="shared" ca="1" si="2"/>
        <v>29.358326142373592</v>
      </c>
    </row>
    <row r="43" spans="2:12" x14ac:dyDescent="0.3">
      <c r="B43" s="16">
        <f t="shared" si="1"/>
        <v>30</v>
      </c>
      <c r="C43" s="16">
        <f t="shared" ca="1" si="2"/>
        <v>30.282496279289148</v>
      </c>
      <c r="D43" s="16">
        <f t="shared" ca="1" si="2"/>
        <v>26.489178752920346</v>
      </c>
      <c r="E43" s="16">
        <f t="shared" ca="1" si="2"/>
        <v>29.797391308314204</v>
      </c>
      <c r="F43" s="16">
        <f t="shared" ca="1" si="2"/>
        <v>32.684089025443924</v>
      </c>
      <c r="G43" s="16">
        <f t="shared" ca="1" si="2"/>
        <v>39.396144816606196</v>
      </c>
      <c r="H43" s="16">
        <f t="shared" ca="1" si="2"/>
        <v>32.831394025838108</v>
      </c>
      <c r="I43" s="16">
        <f t="shared" ca="1" si="2"/>
        <v>36.616562346905631</v>
      </c>
      <c r="J43" s="16">
        <f t="shared" ca="1" si="2"/>
        <v>29.005827602978982</v>
      </c>
      <c r="K43" s="16">
        <f t="shared" ca="1" si="2"/>
        <v>34.947354304907691</v>
      </c>
      <c r="L43" s="16">
        <f t="shared" ca="1" si="2"/>
        <v>28.660429727694829</v>
      </c>
    </row>
    <row r="44" spans="2:12" x14ac:dyDescent="0.3">
      <c r="B44" s="16">
        <f t="shared" si="1"/>
        <v>31</v>
      </c>
      <c r="C44" s="16">
        <f t="shared" ca="1" si="2"/>
        <v>29.863096420827269</v>
      </c>
      <c r="D44" s="16">
        <f t="shared" ca="1" si="2"/>
        <v>25.193436515635877</v>
      </c>
      <c r="E44" s="16">
        <f t="shared" ca="1" si="2"/>
        <v>29.755424784373353</v>
      </c>
      <c r="F44" s="16">
        <f t="shared" ca="1" si="2"/>
        <v>32.458035603122319</v>
      </c>
      <c r="G44" s="16">
        <f t="shared" ca="1" si="2"/>
        <v>39.711449106231036</v>
      </c>
      <c r="H44" s="16">
        <f t="shared" ca="1" si="2"/>
        <v>34.051000222113274</v>
      </c>
      <c r="I44" s="16">
        <f t="shared" ca="1" si="2"/>
        <v>35.82173863364045</v>
      </c>
      <c r="J44" s="16">
        <f t="shared" ca="1" si="2"/>
        <v>28.754427017444147</v>
      </c>
      <c r="K44" s="16">
        <f t="shared" ca="1" si="2"/>
        <v>35.770563058329756</v>
      </c>
      <c r="L44" s="16">
        <f t="shared" ca="1" si="2"/>
        <v>28.81098801186867</v>
      </c>
    </row>
    <row r="45" spans="2:12" x14ac:dyDescent="0.3">
      <c r="B45" s="16">
        <f t="shared" si="1"/>
        <v>32</v>
      </c>
      <c r="C45" s="16">
        <f t="shared" ca="1" si="2"/>
        <v>29.554494520538082</v>
      </c>
      <c r="D45" s="16">
        <f t="shared" ca="1" si="2"/>
        <v>25.244262264390986</v>
      </c>
      <c r="E45" s="16">
        <f t="shared" ca="1" si="2"/>
        <v>29.723623357816926</v>
      </c>
      <c r="F45" s="16">
        <f t="shared" ca="1" si="2"/>
        <v>33.245732802224012</v>
      </c>
      <c r="G45" s="16">
        <f t="shared" ca="1" si="2"/>
        <v>39.260352051528862</v>
      </c>
      <c r="H45" s="16">
        <f t="shared" ca="1" si="2"/>
        <v>34.435106318293045</v>
      </c>
      <c r="I45" s="16">
        <f t="shared" ca="1" si="2"/>
        <v>34.690413050833605</v>
      </c>
      <c r="J45" s="16">
        <f t="shared" ca="1" si="2"/>
        <v>29.627180220385874</v>
      </c>
      <c r="K45" s="16">
        <f t="shared" ca="1" si="2"/>
        <v>35.053453015661184</v>
      </c>
      <c r="L45" s="16">
        <f t="shared" ca="1" si="2"/>
        <v>28.280864752050864</v>
      </c>
    </row>
    <row r="46" spans="2:12" x14ac:dyDescent="0.3">
      <c r="B46" s="16">
        <f t="shared" si="1"/>
        <v>33</v>
      </c>
      <c r="C46" s="16">
        <f t="shared" ref="C46:L61" ca="1" si="3">C45*EXP(($E$5-0.5*$E$6*$E$6)*$E$7+$E$6*SQRT($E$7)*_xlfn.NORM.S.INV(RAND()))</f>
        <v>29.171889839854899</v>
      </c>
      <c r="D46" s="16">
        <f t="shared" ca="1" si="3"/>
        <v>25.269020916171691</v>
      </c>
      <c r="E46" s="16">
        <f t="shared" ca="1" si="3"/>
        <v>29.417270413253025</v>
      </c>
      <c r="F46" s="16">
        <f t="shared" ca="1" si="3"/>
        <v>32.908216774854893</v>
      </c>
      <c r="G46" s="16">
        <f t="shared" ca="1" si="3"/>
        <v>39.054986622816784</v>
      </c>
      <c r="H46" s="16">
        <f t="shared" ca="1" si="3"/>
        <v>33.633301702099068</v>
      </c>
      <c r="I46" s="16">
        <f t="shared" ca="1" si="3"/>
        <v>34.704898301363855</v>
      </c>
      <c r="J46" s="16">
        <f t="shared" ca="1" si="3"/>
        <v>30.520173601870937</v>
      </c>
      <c r="K46" s="16">
        <f t="shared" ca="1" si="3"/>
        <v>35.247138714342228</v>
      </c>
      <c r="L46" s="16">
        <f t="shared" ca="1" si="3"/>
        <v>27.547555744446925</v>
      </c>
    </row>
    <row r="47" spans="2:12" x14ac:dyDescent="0.3">
      <c r="B47" s="16">
        <f t="shared" si="1"/>
        <v>34</v>
      </c>
      <c r="C47" s="16">
        <f t="shared" ca="1" si="3"/>
        <v>29.449845268864781</v>
      </c>
      <c r="D47" s="16">
        <f t="shared" ca="1" si="3"/>
        <v>25.771035579442</v>
      </c>
      <c r="E47" s="16">
        <f t="shared" ca="1" si="3"/>
        <v>30.739500219235428</v>
      </c>
      <c r="F47" s="16">
        <f t="shared" ca="1" si="3"/>
        <v>33.295702963792465</v>
      </c>
      <c r="G47" s="16">
        <f t="shared" ca="1" si="3"/>
        <v>39.242133582366883</v>
      </c>
      <c r="H47" s="16">
        <f t="shared" ca="1" si="3"/>
        <v>34.521990874276838</v>
      </c>
      <c r="I47" s="16">
        <f t="shared" ca="1" si="3"/>
        <v>34.38335980614665</v>
      </c>
      <c r="J47" s="16">
        <f t="shared" ca="1" si="3"/>
        <v>29.022268633207705</v>
      </c>
      <c r="K47" s="16">
        <f t="shared" ca="1" si="3"/>
        <v>35.62205783632529</v>
      </c>
      <c r="L47" s="16">
        <f t="shared" ca="1" si="3"/>
        <v>27.758996753020309</v>
      </c>
    </row>
    <row r="48" spans="2:12" x14ac:dyDescent="0.3">
      <c r="B48" s="16">
        <f t="shared" si="1"/>
        <v>35</v>
      </c>
      <c r="C48" s="16">
        <f t="shared" ca="1" si="3"/>
        <v>29.201761645397099</v>
      </c>
      <c r="D48" s="16">
        <f t="shared" ca="1" si="3"/>
        <v>25.218844137289945</v>
      </c>
      <c r="E48" s="16">
        <f t="shared" ca="1" si="3"/>
        <v>30.995154059247543</v>
      </c>
      <c r="F48" s="16">
        <f t="shared" ca="1" si="3"/>
        <v>32.746839579360511</v>
      </c>
      <c r="G48" s="16">
        <f t="shared" ca="1" si="3"/>
        <v>38.626859713317963</v>
      </c>
      <c r="H48" s="16">
        <f t="shared" ca="1" si="3"/>
        <v>34.650886248039974</v>
      </c>
      <c r="I48" s="16">
        <f t="shared" ca="1" si="3"/>
        <v>33.717271234366621</v>
      </c>
      <c r="J48" s="16">
        <f t="shared" ca="1" si="3"/>
        <v>29.042073225111899</v>
      </c>
      <c r="K48" s="16">
        <f t="shared" ca="1" si="3"/>
        <v>35.559431309592668</v>
      </c>
      <c r="L48" s="16">
        <f t="shared" ca="1" si="3"/>
        <v>27.880760716434281</v>
      </c>
    </row>
    <row r="49" spans="2:12" x14ac:dyDescent="0.3">
      <c r="B49" s="16">
        <f t="shared" si="1"/>
        <v>36</v>
      </c>
      <c r="C49" s="16">
        <f t="shared" ca="1" si="3"/>
        <v>29.248323542542412</v>
      </c>
      <c r="D49" s="16">
        <f t="shared" ca="1" si="3"/>
        <v>24.993486275786719</v>
      </c>
      <c r="E49" s="16">
        <f t="shared" ca="1" si="3"/>
        <v>31.566760552842918</v>
      </c>
      <c r="F49" s="16">
        <f t="shared" ca="1" si="3"/>
        <v>32.564828927486197</v>
      </c>
      <c r="G49" s="16">
        <f t="shared" ca="1" si="3"/>
        <v>38.034235604060918</v>
      </c>
      <c r="H49" s="16">
        <f t="shared" ca="1" si="3"/>
        <v>33.968452444591428</v>
      </c>
      <c r="I49" s="16">
        <f t="shared" ca="1" si="3"/>
        <v>33.105177608241313</v>
      </c>
      <c r="J49" s="16">
        <f t="shared" ca="1" si="3"/>
        <v>28.499481922529061</v>
      </c>
      <c r="K49" s="16">
        <f t="shared" ca="1" si="3"/>
        <v>35.005041331863545</v>
      </c>
      <c r="L49" s="16">
        <f t="shared" ca="1" si="3"/>
        <v>27.531556989005765</v>
      </c>
    </row>
    <row r="50" spans="2:12" x14ac:dyDescent="0.3">
      <c r="B50" s="16">
        <f t="shared" si="1"/>
        <v>37</v>
      </c>
      <c r="C50" s="16">
        <f t="shared" ca="1" si="3"/>
        <v>29.532064638211278</v>
      </c>
      <c r="D50" s="16">
        <f t="shared" ca="1" si="3"/>
        <v>25.592979256966455</v>
      </c>
      <c r="E50" s="16">
        <f t="shared" ca="1" si="3"/>
        <v>31.447369045405104</v>
      </c>
      <c r="F50" s="16">
        <f t="shared" ca="1" si="3"/>
        <v>33.31893760813076</v>
      </c>
      <c r="G50" s="16">
        <f t="shared" ca="1" si="3"/>
        <v>37.604840768893666</v>
      </c>
      <c r="H50" s="16">
        <f t="shared" ca="1" si="3"/>
        <v>33.486768241248825</v>
      </c>
      <c r="I50" s="16">
        <f t="shared" ca="1" si="3"/>
        <v>32.778221988283299</v>
      </c>
      <c r="J50" s="16">
        <f t="shared" ca="1" si="3"/>
        <v>28.093056193121484</v>
      </c>
      <c r="K50" s="16">
        <f t="shared" ca="1" si="3"/>
        <v>35.159660571945878</v>
      </c>
      <c r="L50" s="16">
        <f t="shared" ca="1" si="3"/>
        <v>27.876362258524349</v>
      </c>
    </row>
    <row r="51" spans="2:12" x14ac:dyDescent="0.3">
      <c r="B51" s="16">
        <f t="shared" si="1"/>
        <v>38</v>
      </c>
      <c r="C51" s="16">
        <f t="shared" ca="1" si="3"/>
        <v>29.36307795208085</v>
      </c>
      <c r="D51" s="16">
        <f t="shared" ca="1" si="3"/>
        <v>25.626824377497591</v>
      </c>
      <c r="E51" s="16">
        <f t="shared" ca="1" si="3"/>
        <v>30.886737392803472</v>
      </c>
      <c r="F51" s="16">
        <f t="shared" ca="1" si="3"/>
        <v>32.100142113919965</v>
      </c>
      <c r="G51" s="16">
        <f t="shared" ca="1" si="3"/>
        <v>37.610169430836187</v>
      </c>
      <c r="H51" s="16">
        <f t="shared" ca="1" si="3"/>
        <v>33.757534295945234</v>
      </c>
      <c r="I51" s="16">
        <f t="shared" ca="1" si="3"/>
        <v>32.634358113977342</v>
      </c>
      <c r="J51" s="16">
        <f t="shared" ca="1" si="3"/>
        <v>28.605862813506171</v>
      </c>
      <c r="K51" s="16">
        <f t="shared" ca="1" si="3"/>
        <v>34.871307966696364</v>
      </c>
      <c r="L51" s="16">
        <f t="shared" ca="1" si="3"/>
        <v>27.726425087868531</v>
      </c>
    </row>
    <row r="52" spans="2:12" x14ac:dyDescent="0.3">
      <c r="B52" s="16">
        <f t="shared" si="1"/>
        <v>39</v>
      </c>
      <c r="C52" s="16">
        <f t="shared" ca="1" si="3"/>
        <v>28.936589298467236</v>
      </c>
      <c r="D52" s="16">
        <f t="shared" ca="1" si="3"/>
        <v>26.573057096989334</v>
      </c>
      <c r="E52" s="16">
        <f t="shared" ca="1" si="3"/>
        <v>30.740873055709358</v>
      </c>
      <c r="F52" s="16">
        <f t="shared" ca="1" si="3"/>
        <v>31.427685262643479</v>
      </c>
      <c r="G52" s="16">
        <f t="shared" ca="1" si="3"/>
        <v>37.314049077348201</v>
      </c>
      <c r="H52" s="16">
        <f t="shared" ca="1" si="3"/>
        <v>33.742610707613444</v>
      </c>
      <c r="I52" s="16">
        <f t="shared" ca="1" si="3"/>
        <v>32.098458062761623</v>
      </c>
      <c r="J52" s="16">
        <f t="shared" ca="1" si="3"/>
        <v>27.846932815822075</v>
      </c>
      <c r="K52" s="16">
        <f t="shared" ca="1" si="3"/>
        <v>34.545591706502719</v>
      </c>
      <c r="L52" s="16">
        <f t="shared" ca="1" si="3"/>
        <v>27.840636547873679</v>
      </c>
    </row>
    <row r="53" spans="2:12" x14ac:dyDescent="0.3">
      <c r="B53" s="16">
        <f t="shared" si="1"/>
        <v>40</v>
      </c>
      <c r="C53" s="16">
        <f t="shared" ca="1" si="3"/>
        <v>29.295102126154518</v>
      </c>
      <c r="D53" s="16">
        <f t="shared" ca="1" si="3"/>
        <v>26.728314903456493</v>
      </c>
      <c r="E53" s="16">
        <f t="shared" ca="1" si="3"/>
        <v>29.419132736712537</v>
      </c>
      <c r="F53" s="16">
        <f t="shared" ca="1" si="3"/>
        <v>31.92975068213546</v>
      </c>
      <c r="G53" s="16">
        <f t="shared" ca="1" si="3"/>
        <v>37.812029964321162</v>
      </c>
      <c r="H53" s="16">
        <f t="shared" ca="1" si="3"/>
        <v>33.714806898638379</v>
      </c>
      <c r="I53" s="16">
        <f t="shared" ca="1" si="3"/>
        <v>32.198801552964817</v>
      </c>
      <c r="J53" s="16">
        <f t="shared" ca="1" si="3"/>
        <v>28.694235578398612</v>
      </c>
      <c r="K53" s="16">
        <f t="shared" ca="1" si="3"/>
        <v>34.516690494105006</v>
      </c>
      <c r="L53" s="16">
        <f t="shared" ca="1" si="3"/>
        <v>27.97147737306711</v>
      </c>
    </row>
    <row r="54" spans="2:12" x14ac:dyDescent="0.3">
      <c r="B54" s="16">
        <f t="shared" si="1"/>
        <v>41</v>
      </c>
      <c r="C54" s="16">
        <f t="shared" ca="1" si="3"/>
        <v>29.073887586652482</v>
      </c>
      <c r="D54" s="16">
        <f t="shared" ca="1" si="3"/>
        <v>26.572878990588435</v>
      </c>
      <c r="E54" s="16">
        <f t="shared" ca="1" si="3"/>
        <v>28.975224370530299</v>
      </c>
      <c r="F54" s="16">
        <f t="shared" ca="1" si="3"/>
        <v>32.118674041237533</v>
      </c>
      <c r="G54" s="16">
        <f t="shared" ca="1" si="3"/>
        <v>37.608896569100111</v>
      </c>
      <c r="H54" s="16">
        <f t="shared" ca="1" si="3"/>
        <v>34.169829288865941</v>
      </c>
      <c r="I54" s="16">
        <f t="shared" ca="1" si="3"/>
        <v>32.087443742503744</v>
      </c>
      <c r="J54" s="16">
        <f t="shared" ca="1" si="3"/>
        <v>28.708117877777649</v>
      </c>
      <c r="K54" s="16">
        <f t="shared" ca="1" si="3"/>
        <v>34.356272062125377</v>
      </c>
      <c r="L54" s="16">
        <f t="shared" ca="1" si="3"/>
        <v>27.387355609569589</v>
      </c>
    </row>
    <row r="55" spans="2:12" x14ac:dyDescent="0.3">
      <c r="B55" s="16">
        <f t="shared" si="1"/>
        <v>42</v>
      </c>
      <c r="C55" s="16">
        <f t="shared" ca="1" si="3"/>
        <v>28.466193482310928</v>
      </c>
      <c r="D55" s="16">
        <f t="shared" ca="1" si="3"/>
        <v>27.421898920512039</v>
      </c>
      <c r="E55" s="16">
        <f t="shared" ca="1" si="3"/>
        <v>29.802465085004489</v>
      </c>
      <c r="F55" s="16">
        <f t="shared" ca="1" si="3"/>
        <v>31.019651990368168</v>
      </c>
      <c r="G55" s="16">
        <f t="shared" ca="1" si="3"/>
        <v>37.020885402429279</v>
      </c>
      <c r="H55" s="16">
        <f t="shared" ca="1" si="3"/>
        <v>33.837366380917729</v>
      </c>
      <c r="I55" s="16">
        <f t="shared" ca="1" si="3"/>
        <v>32.195105644084641</v>
      </c>
      <c r="J55" s="16">
        <f t="shared" ca="1" si="3"/>
        <v>28.446043904977802</v>
      </c>
      <c r="K55" s="16">
        <f t="shared" ca="1" si="3"/>
        <v>33.659334501922118</v>
      </c>
      <c r="L55" s="16">
        <f t="shared" ca="1" si="3"/>
        <v>28.069570156900301</v>
      </c>
    </row>
    <row r="56" spans="2:12" x14ac:dyDescent="0.3">
      <c r="B56" s="16">
        <f t="shared" si="1"/>
        <v>43</v>
      </c>
      <c r="C56" s="16">
        <f t="shared" ca="1" si="3"/>
        <v>28.472311167497878</v>
      </c>
      <c r="D56" s="16">
        <f t="shared" ca="1" si="3"/>
        <v>28.125477947076018</v>
      </c>
      <c r="E56" s="16">
        <f t="shared" ca="1" si="3"/>
        <v>30.612215621331046</v>
      </c>
      <c r="F56" s="16">
        <f t="shared" ca="1" si="3"/>
        <v>31.781856351942569</v>
      </c>
      <c r="G56" s="16">
        <f t="shared" ca="1" si="3"/>
        <v>36.557006559054138</v>
      </c>
      <c r="H56" s="16">
        <f t="shared" ca="1" si="3"/>
        <v>34.45745509137727</v>
      </c>
      <c r="I56" s="16">
        <f t="shared" ca="1" si="3"/>
        <v>31.623521607502958</v>
      </c>
      <c r="J56" s="16">
        <f t="shared" ca="1" si="3"/>
        <v>28.013918922669802</v>
      </c>
      <c r="K56" s="16">
        <f t="shared" ca="1" si="3"/>
        <v>33.497945519287136</v>
      </c>
      <c r="L56" s="16">
        <f t="shared" ca="1" si="3"/>
        <v>27.462537284898271</v>
      </c>
    </row>
    <row r="57" spans="2:12" x14ac:dyDescent="0.3">
      <c r="B57" s="16">
        <f t="shared" si="1"/>
        <v>44</v>
      </c>
      <c r="C57" s="16">
        <f t="shared" ca="1" si="3"/>
        <v>28.493624137616354</v>
      </c>
      <c r="D57" s="16">
        <f t="shared" ca="1" si="3"/>
        <v>27.4619280233971</v>
      </c>
      <c r="E57" s="16">
        <f t="shared" ca="1" si="3"/>
        <v>30.404260712581621</v>
      </c>
      <c r="F57" s="16">
        <f t="shared" ca="1" si="3"/>
        <v>32.243844870523155</v>
      </c>
      <c r="G57" s="16">
        <f t="shared" ca="1" si="3"/>
        <v>37.851799713419304</v>
      </c>
      <c r="H57" s="16">
        <f t="shared" ca="1" si="3"/>
        <v>34.738244184611155</v>
      </c>
      <c r="I57" s="16">
        <f t="shared" ca="1" si="3"/>
        <v>31.515041227484506</v>
      </c>
      <c r="J57" s="16">
        <f t="shared" ca="1" si="3"/>
        <v>28.481794704819304</v>
      </c>
      <c r="K57" s="16">
        <f t="shared" ca="1" si="3"/>
        <v>33.376402174895645</v>
      </c>
      <c r="L57" s="16">
        <f t="shared" ca="1" si="3"/>
        <v>27.030625770424773</v>
      </c>
    </row>
    <row r="58" spans="2:12" x14ac:dyDescent="0.3">
      <c r="B58" s="16">
        <f t="shared" si="1"/>
        <v>45</v>
      </c>
      <c r="C58" s="16">
        <f t="shared" ca="1" si="3"/>
        <v>28.62845377624469</v>
      </c>
      <c r="D58" s="16">
        <f t="shared" ca="1" si="3"/>
        <v>27.598170774781437</v>
      </c>
      <c r="E58" s="16">
        <f t="shared" ca="1" si="3"/>
        <v>29.0744211976189</v>
      </c>
      <c r="F58" s="16">
        <f t="shared" ca="1" si="3"/>
        <v>31.490714213088271</v>
      </c>
      <c r="G58" s="16">
        <f t="shared" ca="1" si="3"/>
        <v>37.339357514139991</v>
      </c>
      <c r="H58" s="16">
        <f t="shared" ca="1" si="3"/>
        <v>33.44615255951782</v>
      </c>
      <c r="I58" s="16">
        <f t="shared" ca="1" si="3"/>
        <v>31.112902646488042</v>
      </c>
      <c r="J58" s="16">
        <f t="shared" ca="1" si="3"/>
        <v>28.018505067276706</v>
      </c>
      <c r="K58" s="16">
        <f t="shared" ca="1" si="3"/>
        <v>33.33569220967911</v>
      </c>
      <c r="L58" s="16">
        <f t="shared" ca="1" si="3"/>
        <v>27.905326103411824</v>
      </c>
    </row>
    <row r="59" spans="2:12" x14ac:dyDescent="0.3">
      <c r="B59" s="16">
        <f t="shared" si="1"/>
        <v>46</v>
      </c>
      <c r="C59" s="16">
        <f t="shared" ca="1" si="3"/>
        <v>28.489715249311569</v>
      </c>
      <c r="D59" s="16">
        <f t="shared" ca="1" si="3"/>
        <v>28.127914970037594</v>
      </c>
      <c r="E59" s="16">
        <f t="shared" ca="1" si="3"/>
        <v>28.892097243608916</v>
      </c>
      <c r="F59" s="16">
        <f t="shared" ca="1" si="3"/>
        <v>31.468714890697203</v>
      </c>
      <c r="G59" s="16">
        <f t="shared" ca="1" si="3"/>
        <v>36.867543489635395</v>
      </c>
      <c r="H59" s="16">
        <f t="shared" ca="1" si="3"/>
        <v>32.37542152947244</v>
      </c>
      <c r="I59" s="16">
        <f t="shared" ca="1" si="3"/>
        <v>31.290834826041397</v>
      </c>
      <c r="J59" s="16">
        <f t="shared" ca="1" si="3"/>
        <v>28.713211569173907</v>
      </c>
      <c r="K59" s="16">
        <f t="shared" ca="1" si="3"/>
        <v>31.742189482838981</v>
      </c>
      <c r="L59" s="16">
        <f t="shared" ca="1" si="3"/>
        <v>28.31180525939449</v>
      </c>
    </row>
    <row r="60" spans="2:12" x14ac:dyDescent="0.3">
      <c r="B60" s="16">
        <f t="shared" si="1"/>
        <v>47</v>
      </c>
      <c r="C60" s="16">
        <f t="shared" ca="1" si="3"/>
        <v>28.378988534374024</v>
      </c>
      <c r="D60" s="16">
        <f t="shared" ca="1" si="3"/>
        <v>28.552305551376151</v>
      </c>
      <c r="E60" s="16">
        <f t="shared" ca="1" si="3"/>
        <v>29.219262334602966</v>
      </c>
      <c r="F60" s="16">
        <f t="shared" ca="1" si="3"/>
        <v>30.489652258778413</v>
      </c>
      <c r="G60" s="16">
        <f t="shared" ca="1" si="3"/>
        <v>36.287041126324688</v>
      </c>
      <c r="H60" s="16">
        <f t="shared" ca="1" si="3"/>
        <v>33.325902118714282</v>
      </c>
      <c r="I60" s="16">
        <f t="shared" ca="1" si="3"/>
        <v>31.498506205238371</v>
      </c>
      <c r="J60" s="16">
        <f t="shared" ca="1" si="3"/>
        <v>29.125569516130781</v>
      </c>
      <c r="K60" s="16">
        <f t="shared" ca="1" si="3"/>
        <v>32.169823795290384</v>
      </c>
      <c r="L60" s="16">
        <f t="shared" ca="1" si="3"/>
        <v>28.760549451025298</v>
      </c>
    </row>
    <row r="61" spans="2:12" x14ac:dyDescent="0.3">
      <c r="B61" s="16">
        <f t="shared" si="1"/>
        <v>48</v>
      </c>
      <c r="C61" s="16">
        <f t="shared" ca="1" si="3"/>
        <v>28.522229246111628</v>
      </c>
      <c r="D61" s="16">
        <f t="shared" ca="1" si="3"/>
        <v>29.284407527773396</v>
      </c>
      <c r="E61" s="16">
        <f t="shared" ca="1" si="3"/>
        <v>28.918400924443457</v>
      </c>
      <c r="F61" s="16">
        <f t="shared" ca="1" si="3"/>
        <v>30.012955531746943</v>
      </c>
      <c r="G61" s="16">
        <f t="shared" ca="1" si="3"/>
        <v>37.006488111577305</v>
      </c>
      <c r="H61" s="16">
        <f t="shared" ca="1" si="3"/>
        <v>33.285015427567629</v>
      </c>
      <c r="I61" s="16">
        <f t="shared" ca="1" si="3"/>
        <v>30.592329593022026</v>
      </c>
      <c r="J61" s="16">
        <f t="shared" ca="1" si="3"/>
        <v>29.217611883777497</v>
      </c>
      <c r="K61" s="16">
        <f t="shared" ca="1" si="3"/>
        <v>31.444014552254696</v>
      </c>
      <c r="L61" s="16">
        <f t="shared" ca="1" si="3"/>
        <v>29.049718839905015</v>
      </c>
    </row>
    <row r="62" spans="2:12" x14ac:dyDescent="0.3">
      <c r="B62" s="16">
        <f t="shared" si="1"/>
        <v>49</v>
      </c>
      <c r="C62" s="16">
        <f t="shared" ref="C62:L77" ca="1" si="4">C61*EXP(($E$5-0.5*$E$6*$E$6)*$E$7+$E$6*SQRT($E$7)*_xlfn.NORM.S.INV(RAND()))</f>
        <v>29.256548076523917</v>
      </c>
      <c r="D62" s="16">
        <f t="shared" ca="1" si="4"/>
        <v>28.908742199108257</v>
      </c>
      <c r="E62" s="16">
        <f t="shared" ca="1" si="4"/>
        <v>28.868544821393744</v>
      </c>
      <c r="F62" s="16">
        <f t="shared" ca="1" si="4"/>
        <v>29.672135823092681</v>
      </c>
      <c r="G62" s="16">
        <f t="shared" ca="1" si="4"/>
        <v>37.456363397328374</v>
      </c>
      <c r="H62" s="16">
        <f t="shared" ca="1" si="4"/>
        <v>34.253784237004965</v>
      </c>
      <c r="I62" s="16">
        <f t="shared" ca="1" si="4"/>
        <v>30.561832902691524</v>
      </c>
      <c r="J62" s="16">
        <f t="shared" ca="1" si="4"/>
        <v>28.925871218336621</v>
      </c>
      <c r="K62" s="16">
        <f t="shared" ca="1" si="4"/>
        <v>32.058633121359165</v>
      </c>
      <c r="L62" s="16">
        <f t="shared" ca="1" si="4"/>
        <v>28.997781192452667</v>
      </c>
    </row>
    <row r="63" spans="2:12" x14ac:dyDescent="0.3">
      <c r="B63" s="16">
        <f t="shared" si="1"/>
        <v>50</v>
      </c>
      <c r="C63" s="16">
        <f t="shared" ca="1" si="4"/>
        <v>30.339797874957213</v>
      </c>
      <c r="D63" s="16">
        <f t="shared" ca="1" si="4"/>
        <v>28.695677852844767</v>
      </c>
      <c r="E63" s="16">
        <f t="shared" ca="1" si="4"/>
        <v>28.951823043026813</v>
      </c>
      <c r="F63" s="16">
        <f t="shared" ca="1" si="4"/>
        <v>29.532427009089073</v>
      </c>
      <c r="G63" s="16">
        <f t="shared" ca="1" si="4"/>
        <v>37.676942923207356</v>
      </c>
      <c r="H63" s="16">
        <f t="shared" ca="1" si="4"/>
        <v>33.206816823949829</v>
      </c>
      <c r="I63" s="16">
        <f t="shared" ca="1" si="4"/>
        <v>31.097336430184207</v>
      </c>
      <c r="J63" s="16">
        <f t="shared" ca="1" si="4"/>
        <v>28.981462131979107</v>
      </c>
      <c r="K63" s="16">
        <f t="shared" ca="1" si="4"/>
        <v>32.908760422160377</v>
      </c>
      <c r="L63" s="16">
        <f t="shared" ca="1" si="4"/>
        <v>28.816585909925625</v>
      </c>
    </row>
    <row r="64" spans="2:12" x14ac:dyDescent="0.3">
      <c r="B64" s="16">
        <f t="shared" si="1"/>
        <v>51</v>
      </c>
      <c r="C64" s="16">
        <f t="shared" ca="1" si="4"/>
        <v>30.029057688025148</v>
      </c>
      <c r="D64" s="16">
        <f t="shared" ca="1" si="4"/>
        <v>29.323800605420665</v>
      </c>
      <c r="E64" s="16">
        <f t="shared" ca="1" si="4"/>
        <v>29.821498137370224</v>
      </c>
      <c r="F64" s="16">
        <f t="shared" ca="1" si="4"/>
        <v>29.340933435807329</v>
      </c>
      <c r="G64" s="16">
        <f t="shared" ca="1" si="4"/>
        <v>36.879075231921021</v>
      </c>
      <c r="H64" s="16">
        <f t="shared" ca="1" si="4"/>
        <v>32.410776163186952</v>
      </c>
      <c r="I64" s="16">
        <f t="shared" ca="1" si="4"/>
        <v>31.299087182956846</v>
      </c>
      <c r="J64" s="16">
        <f t="shared" ca="1" si="4"/>
        <v>28.772696358135835</v>
      </c>
      <c r="K64" s="16">
        <f t="shared" ca="1" si="4"/>
        <v>32.406972219578059</v>
      </c>
      <c r="L64" s="16">
        <f t="shared" ca="1" si="4"/>
        <v>28.671852507046314</v>
      </c>
    </row>
    <row r="65" spans="2:12" x14ac:dyDescent="0.3">
      <c r="B65" s="16">
        <f t="shared" si="1"/>
        <v>52</v>
      </c>
      <c r="C65" s="16">
        <f t="shared" ca="1" si="4"/>
        <v>29.692465667291732</v>
      </c>
      <c r="D65" s="16">
        <f t="shared" ca="1" si="4"/>
        <v>29.798835058542839</v>
      </c>
      <c r="E65" s="16">
        <f t="shared" ca="1" si="4"/>
        <v>29.699034913188559</v>
      </c>
      <c r="F65" s="16">
        <f t="shared" ca="1" si="4"/>
        <v>29.426727973339897</v>
      </c>
      <c r="G65" s="16">
        <f t="shared" ca="1" si="4"/>
        <v>36.955570688012884</v>
      </c>
      <c r="H65" s="16">
        <f t="shared" ca="1" si="4"/>
        <v>31.623381225903952</v>
      </c>
      <c r="I65" s="16">
        <f t="shared" ca="1" si="4"/>
        <v>30.984251813145697</v>
      </c>
      <c r="J65" s="16">
        <f t="shared" ca="1" si="4"/>
        <v>28.259380753635821</v>
      </c>
      <c r="K65" s="16">
        <f t="shared" ca="1" si="4"/>
        <v>32.773275767566581</v>
      </c>
      <c r="L65" s="16">
        <f t="shared" ca="1" si="4"/>
        <v>28.403986263811685</v>
      </c>
    </row>
    <row r="66" spans="2:12" x14ac:dyDescent="0.3">
      <c r="B66" s="16">
        <f t="shared" si="1"/>
        <v>53</v>
      </c>
      <c r="C66" s="16">
        <f t="shared" ca="1" si="4"/>
        <v>29.615935712968721</v>
      </c>
      <c r="D66" s="16">
        <f t="shared" ca="1" si="4"/>
        <v>29.95865673672019</v>
      </c>
      <c r="E66" s="16">
        <f t="shared" ca="1" si="4"/>
        <v>30.387776606430243</v>
      </c>
      <c r="F66" s="16">
        <f t="shared" ca="1" si="4"/>
        <v>30.085065007644587</v>
      </c>
      <c r="G66" s="16">
        <f t="shared" ca="1" si="4"/>
        <v>36.427882574895719</v>
      </c>
      <c r="H66" s="16">
        <f t="shared" ca="1" si="4"/>
        <v>31.560787553849867</v>
      </c>
      <c r="I66" s="16">
        <f t="shared" ca="1" si="4"/>
        <v>31.528495472874109</v>
      </c>
      <c r="J66" s="16">
        <f t="shared" ca="1" si="4"/>
        <v>27.362282090184372</v>
      </c>
      <c r="K66" s="16">
        <f t="shared" ca="1" si="4"/>
        <v>33.737558213615564</v>
      </c>
      <c r="L66" s="16">
        <f t="shared" ca="1" si="4"/>
        <v>27.775938964591006</v>
      </c>
    </row>
    <row r="67" spans="2:12" x14ac:dyDescent="0.3">
      <c r="B67" s="16">
        <f t="shared" si="1"/>
        <v>54</v>
      </c>
      <c r="C67" s="16">
        <f t="shared" ca="1" si="4"/>
        <v>30.896494221834057</v>
      </c>
      <c r="D67" s="16">
        <f t="shared" ca="1" si="4"/>
        <v>30.501475834852602</v>
      </c>
      <c r="E67" s="16">
        <f t="shared" ca="1" si="4"/>
        <v>30.737866696732599</v>
      </c>
      <c r="F67" s="16">
        <f t="shared" ca="1" si="4"/>
        <v>30.056400428479638</v>
      </c>
      <c r="G67" s="16">
        <f t="shared" ca="1" si="4"/>
        <v>36.789236825663615</v>
      </c>
      <c r="H67" s="16">
        <f t="shared" ca="1" si="4"/>
        <v>30.769906354453362</v>
      </c>
      <c r="I67" s="16">
        <f t="shared" ca="1" si="4"/>
        <v>31.089665373107358</v>
      </c>
      <c r="J67" s="16">
        <f t="shared" ca="1" si="4"/>
        <v>27.602226440237665</v>
      </c>
      <c r="K67" s="16">
        <f t="shared" ca="1" si="4"/>
        <v>33.522216910537161</v>
      </c>
      <c r="L67" s="16">
        <f t="shared" ca="1" si="4"/>
        <v>27.811131247207982</v>
      </c>
    </row>
    <row r="68" spans="2:12" x14ac:dyDescent="0.3">
      <c r="B68" s="16">
        <f t="shared" si="1"/>
        <v>55</v>
      </c>
      <c r="C68" s="16">
        <f t="shared" ca="1" si="4"/>
        <v>29.9106357856434</v>
      </c>
      <c r="D68" s="16">
        <f t="shared" ca="1" si="4"/>
        <v>29.941768749854504</v>
      </c>
      <c r="E68" s="16">
        <f t="shared" ca="1" si="4"/>
        <v>30.867620054060037</v>
      </c>
      <c r="F68" s="16">
        <f t="shared" ca="1" si="4"/>
        <v>30.200689351012478</v>
      </c>
      <c r="G68" s="16">
        <f t="shared" ca="1" si="4"/>
        <v>37.23455543109295</v>
      </c>
      <c r="H68" s="16">
        <f t="shared" ca="1" si="4"/>
        <v>30.59146148127002</v>
      </c>
      <c r="I68" s="16">
        <f t="shared" ca="1" si="4"/>
        <v>31.218303857153838</v>
      </c>
      <c r="J68" s="16">
        <f t="shared" ca="1" si="4"/>
        <v>28.086339544218852</v>
      </c>
      <c r="K68" s="16">
        <f t="shared" ca="1" si="4"/>
        <v>33.519397845558657</v>
      </c>
      <c r="L68" s="16">
        <f t="shared" ca="1" si="4"/>
        <v>27.939662865341194</v>
      </c>
    </row>
    <row r="69" spans="2:12" x14ac:dyDescent="0.3">
      <c r="B69" s="16">
        <f t="shared" si="1"/>
        <v>56</v>
      </c>
      <c r="C69" s="16">
        <f t="shared" ca="1" si="4"/>
        <v>29.610832882973043</v>
      </c>
      <c r="D69" s="16">
        <f t="shared" ca="1" si="4"/>
        <v>29.794651263402994</v>
      </c>
      <c r="E69" s="16">
        <f t="shared" ca="1" si="4"/>
        <v>31.697501603401196</v>
      </c>
      <c r="F69" s="16">
        <f t="shared" ca="1" si="4"/>
        <v>30.073942421849406</v>
      </c>
      <c r="G69" s="16">
        <f t="shared" ca="1" si="4"/>
        <v>38.3038978180615</v>
      </c>
      <c r="H69" s="16">
        <f t="shared" ca="1" si="4"/>
        <v>30.794104650386473</v>
      </c>
      <c r="I69" s="16">
        <f t="shared" ca="1" si="4"/>
        <v>31.891047332829515</v>
      </c>
      <c r="J69" s="16">
        <f t="shared" ca="1" si="4"/>
        <v>27.189331377324397</v>
      </c>
      <c r="K69" s="16">
        <f t="shared" ca="1" si="4"/>
        <v>33.453843230546561</v>
      </c>
      <c r="L69" s="16">
        <f t="shared" ca="1" si="4"/>
        <v>27.476582373279719</v>
      </c>
    </row>
    <row r="70" spans="2:12" x14ac:dyDescent="0.3">
      <c r="B70" s="16">
        <f t="shared" si="1"/>
        <v>57</v>
      </c>
      <c r="C70" s="16">
        <f t="shared" ca="1" si="4"/>
        <v>29.941064539747408</v>
      </c>
      <c r="D70" s="16">
        <f t="shared" ca="1" si="4"/>
        <v>29.922063617974068</v>
      </c>
      <c r="E70" s="16">
        <f t="shared" ca="1" si="4"/>
        <v>31.085814255433885</v>
      </c>
      <c r="F70" s="16">
        <f t="shared" ca="1" si="4"/>
        <v>30.61456429150574</v>
      </c>
      <c r="G70" s="16">
        <f t="shared" ca="1" si="4"/>
        <v>38.4338433242146</v>
      </c>
      <c r="H70" s="16">
        <f t="shared" ca="1" si="4"/>
        <v>30.772967256471418</v>
      </c>
      <c r="I70" s="16">
        <f t="shared" ca="1" si="4"/>
        <v>31.817666235668792</v>
      </c>
      <c r="J70" s="16">
        <f t="shared" ca="1" si="4"/>
        <v>28.244924104721026</v>
      </c>
      <c r="K70" s="16">
        <f t="shared" ca="1" si="4"/>
        <v>34.043085812179832</v>
      </c>
      <c r="L70" s="16">
        <f t="shared" ca="1" si="4"/>
        <v>27.870641932329828</v>
      </c>
    </row>
    <row r="71" spans="2:12" x14ac:dyDescent="0.3">
      <c r="B71" s="16">
        <f t="shared" si="1"/>
        <v>58</v>
      </c>
      <c r="C71" s="16">
        <f t="shared" ca="1" si="4"/>
        <v>29.392017019424497</v>
      </c>
      <c r="D71" s="16">
        <f t="shared" ca="1" si="4"/>
        <v>30.689436842956997</v>
      </c>
      <c r="E71" s="16">
        <f t="shared" ca="1" si="4"/>
        <v>31.758656166020618</v>
      </c>
      <c r="F71" s="16">
        <f t="shared" ca="1" si="4"/>
        <v>30.573467953185805</v>
      </c>
      <c r="G71" s="16">
        <f t="shared" ca="1" si="4"/>
        <v>40.456859274845726</v>
      </c>
      <c r="H71" s="16">
        <f t="shared" ca="1" si="4"/>
        <v>30.394302154607843</v>
      </c>
      <c r="I71" s="16">
        <f t="shared" ca="1" si="4"/>
        <v>32.117361892597032</v>
      </c>
      <c r="J71" s="16">
        <f t="shared" ca="1" si="4"/>
        <v>29.145572532929545</v>
      </c>
      <c r="K71" s="16">
        <f t="shared" ca="1" si="4"/>
        <v>34.257080702252509</v>
      </c>
      <c r="L71" s="16">
        <f t="shared" ca="1" si="4"/>
        <v>26.973268667945256</v>
      </c>
    </row>
    <row r="72" spans="2:12" x14ac:dyDescent="0.3">
      <c r="B72" s="16">
        <f t="shared" si="1"/>
        <v>59</v>
      </c>
      <c r="C72" s="16">
        <f t="shared" ca="1" si="4"/>
        <v>30.047004418855998</v>
      </c>
      <c r="D72" s="16">
        <f t="shared" ca="1" si="4"/>
        <v>30.612008600044106</v>
      </c>
      <c r="E72" s="16">
        <f t="shared" ca="1" si="4"/>
        <v>32.316777828203712</v>
      </c>
      <c r="F72" s="16">
        <f t="shared" ca="1" si="4"/>
        <v>30.030998418281435</v>
      </c>
      <c r="G72" s="16">
        <f t="shared" ca="1" si="4"/>
        <v>39.17457166077812</v>
      </c>
      <c r="H72" s="16">
        <f t="shared" ca="1" si="4"/>
        <v>30.774547816877966</v>
      </c>
      <c r="I72" s="16">
        <f t="shared" ca="1" si="4"/>
        <v>31.751949159760564</v>
      </c>
      <c r="J72" s="16">
        <f t="shared" ca="1" si="4"/>
        <v>28.888487665456562</v>
      </c>
      <c r="K72" s="16">
        <f t="shared" ca="1" si="4"/>
        <v>34.098232840241153</v>
      </c>
      <c r="L72" s="16">
        <f t="shared" ca="1" si="4"/>
        <v>26.628379040630996</v>
      </c>
    </row>
    <row r="73" spans="2:12" x14ac:dyDescent="0.3">
      <c r="B73" s="16">
        <f t="shared" si="1"/>
        <v>60</v>
      </c>
      <c r="C73" s="16">
        <f t="shared" ca="1" si="4"/>
        <v>30.562762424667536</v>
      </c>
      <c r="D73" s="16">
        <f t="shared" ca="1" si="4"/>
        <v>30.470774940032491</v>
      </c>
      <c r="E73" s="16">
        <f t="shared" ca="1" si="4"/>
        <v>32.540273147285845</v>
      </c>
      <c r="F73" s="16">
        <f t="shared" ca="1" si="4"/>
        <v>29.244828487501248</v>
      </c>
      <c r="G73" s="16">
        <f t="shared" ca="1" si="4"/>
        <v>39.430282505831698</v>
      </c>
      <c r="H73" s="16">
        <f t="shared" ca="1" si="4"/>
        <v>30.360947562669732</v>
      </c>
      <c r="I73" s="16">
        <f t="shared" ca="1" si="4"/>
        <v>30.790446904444945</v>
      </c>
      <c r="J73" s="16">
        <f t="shared" ca="1" si="4"/>
        <v>29.286693430250637</v>
      </c>
      <c r="K73" s="16">
        <f t="shared" ca="1" si="4"/>
        <v>33.25795670293197</v>
      </c>
      <c r="L73" s="16">
        <f t="shared" ca="1" si="4"/>
        <v>26.929570082039245</v>
      </c>
    </row>
    <row r="74" spans="2:12" x14ac:dyDescent="0.3">
      <c r="B74" s="16">
        <f t="shared" si="1"/>
        <v>61</v>
      </c>
      <c r="C74" s="16">
        <f t="shared" ca="1" si="4"/>
        <v>31.577531670370622</v>
      </c>
      <c r="D74" s="16">
        <f t="shared" ca="1" si="4"/>
        <v>31.466895786709582</v>
      </c>
      <c r="E74" s="16">
        <f t="shared" ca="1" si="4"/>
        <v>33.917175235168521</v>
      </c>
      <c r="F74" s="16">
        <f t="shared" ca="1" si="4"/>
        <v>30.006434766095989</v>
      </c>
      <c r="G74" s="16">
        <f t="shared" ca="1" si="4"/>
        <v>39.099190451218156</v>
      </c>
      <c r="H74" s="16">
        <f t="shared" ca="1" si="4"/>
        <v>30.580172411715115</v>
      </c>
      <c r="I74" s="16">
        <f t="shared" ca="1" si="4"/>
        <v>31.532989629397036</v>
      </c>
      <c r="J74" s="16">
        <f t="shared" ca="1" si="4"/>
        <v>28.813653408379597</v>
      </c>
      <c r="K74" s="16">
        <f t="shared" ca="1" si="4"/>
        <v>32.860006506316047</v>
      </c>
      <c r="L74" s="16">
        <f t="shared" ca="1" si="4"/>
        <v>26.625971153650259</v>
      </c>
    </row>
    <row r="75" spans="2:12" x14ac:dyDescent="0.3">
      <c r="B75" s="16">
        <f t="shared" si="1"/>
        <v>62</v>
      </c>
      <c r="C75" s="16">
        <f t="shared" ca="1" si="4"/>
        <v>32.602332081541199</v>
      </c>
      <c r="D75" s="16">
        <f t="shared" ca="1" si="4"/>
        <v>31.792277334985812</v>
      </c>
      <c r="E75" s="16">
        <f t="shared" ca="1" si="4"/>
        <v>34.30472158827974</v>
      </c>
      <c r="F75" s="16">
        <f t="shared" ca="1" si="4"/>
        <v>31.012887884779168</v>
      </c>
      <c r="G75" s="16">
        <f t="shared" ca="1" si="4"/>
        <v>40.277934145852271</v>
      </c>
      <c r="H75" s="16">
        <f t="shared" ca="1" si="4"/>
        <v>30.199940456861356</v>
      </c>
      <c r="I75" s="16">
        <f t="shared" ca="1" si="4"/>
        <v>31.3942777381288</v>
      </c>
      <c r="J75" s="16">
        <f t="shared" ca="1" si="4"/>
        <v>28.451794776136655</v>
      </c>
      <c r="K75" s="16">
        <f t="shared" ca="1" si="4"/>
        <v>33.041707662402096</v>
      </c>
      <c r="L75" s="16">
        <f t="shared" ca="1" si="4"/>
        <v>27.316997614095438</v>
      </c>
    </row>
    <row r="76" spans="2:12" x14ac:dyDescent="0.3">
      <c r="B76" s="16">
        <f t="shared" si="1"/>
        <v>63</v>
      </c>
      <c r="C76" s="16">
        <f t="shared" ca="1" si="4"/>
        <v>32.546518853349916</v>
      </c>
      <c r="D76" s="16">
        <f t="shared" ca="1" si="4"/>
        <v>32.142976487504889</v>
      </c>
      <c r="E76" s="16">
        <f t="shared" ca="1" si="4"/>
        <v>33.045711400050102</v>
      </c>
      <c r="F76" s="16">
        <f t="shared" ca="1" si="4"/>
        <v>30.70843468233484</v>
      </c>
      <c r="G76" s="16">
        <f t="shared" ca="1" si="4"/>
        <v>39.511098466409834</v>
      </c>
      <c r="H76" s="16">
        <f t="shared" ca="1" si="4"/>
        <v>29.452982916957229</v>
      </c>
      <c r="I76" s="16">
        <f t="shared" ca="1" si="4"/>
        <v>31.854001758134217</v>
      </c>
      <c r="J76" s="16">
        <f t="shared" ca="1" si="4"/>
        <v>28.43550534604973</v>
      </c>
      <c r="K76" s="16">
        <f t="shared" ca="1" si="4"/>
        <v>33.466444927964417</v>
      </c>
      <c r="L76" s="16">
        <f t="shared" ca="1" si="4"/>
        <v>27.501731267754767</v>
      </c>
    </row>
    <row r="77" spans="2:12" x14ac:dyDescent="0.3">
      <c r="B77" s="16">
        <f t="shared" si="1"/>
        <v>64</v>
      </c>
      <c r="C77" s="16">
        <f t="shared" ca="1" si="4"/>
        <v>33.17323059524103</v>
      </c>
      <c r="D77" s="16">
        <f t="shared" ca="1" si="4"/>
        <v>33.072034606392783</v>
      </c>
      <c r="E77" s="16">
        <f t="shared" ca="1" si="4"/>
        <v>33.781127809760761</v>
      </c>
      <c r="F77" s="16">
        <f t="shared" ca="1" si="4"/>
        <v>31.232307981603402</v>
      </c>
      <c r="G77" s="16">
        <f t="shared" ca="1" si="4"/>
        <v>38.912399643161606</v>
      </c>
      <c r="H77" s="16">
        <f t="shared" ca="1" si="4"/>
        <v>28.980897522714439</v>
      </c>
      <c r="I77" s="16">
        <f t="shared" ca="1" si="4"/>
        <v>32.646861288742052</v>
      </c>
      <c r="J77" s="16">
        <f t="shared" ca="1" si="4"/>
        <v>27.021094802052822</v>
      </c>
      <c r="K77" s="16">
        <f t="shared" ca="1" si="4"/>
        <v>33.877601392703788</v>
      </c>
      <c r="L77" s="16">
        <f t="shared" ca="1" si="4"/>
        <v>26.990752659971974</v>
      </c>
    </row>
    <row r="78" spans="2:12" x14ac:dyDescent="0.3">
      <c r="B78" s="16">
        <f t="shared" si="1"/>
        <v>65</v>
      </c>
      <c r="C78" s="16">
        <f t="shared" ref="C78:L93" ca="1" si="5">C77*EXP(($E$5-0.5*$E$6*$E$6)*$E$7+$E$6*SQRT($E$7)*_xlfn.NORM.S.INV(RAND()))</f>
        <v>32.784826787910177</v>
      </c>
      <c r="D78" s="16">
        <f t="shared" ca="1" si="5"/>
        <v>33.397567227309978</v>
      </c>
      <c r="E78" s="16">
        <f t="shared" ca="1" si="5"/>
        <v>33.337381196352347</v>
      </c>
      <c r="F78" s="16">
        <f t="shared" ca="1" si="5"/>
        <v>32.350205487426166</v>
      </c>
      <c r="G78" s="16">
        <f t="shared" ca="1" si="5"/>
        <v>39.368461929195433</v>
      </c>
      <c r="H78" s="16">
        <f t="shared" ca="1" si="5"/>
        <v>29.558967774712016</v>
      </c>
      <c r="I78" s="16">
        <f t="shared" ca="1" si="5"/>
        <v>32.455310559468444</v>
      </c>
      <c r="J78" s="16">
        <f t="shared" ca="1" si="5"/>
        <v>26.542126032033728</v>
      </c>
      <c r="K78" s="16">
        <f t="shared" ca="1" si="5"/>
        <v>33.681785300174923</v>
      </c>
      <c r="L78" s="16">
        <f t="shared" ca="1" si="5"/>
        <v>27.276630257604296</v>
      </c>
    </row>
    <row r="79" spans="2:12" x14ac:dyDescent="0.3">
      <c r="B79" s="16">
        <f t="shared" ref="B79:B142" si="6">B78+1</f>
        <v>66</v>
      </c>
      <c r="C79" s="16">
        <f t="shared" ca="1" si="5"/>
        <v>34.109337555868677</v>
      </c>
      <c r="D79" s="16">
        <f t="shared" ca="1" si="5"/>
        <v>33.50359253255845</v>
      </c>
      <c r="E79" s="16">
        <f t="shared" ca="1" si="5"/>
        <v>32.298323193189987</v>
      </c>
      <c r="F79" s="16">
        <f t="shared" ca="1" si="5"/>
        <v>31.247586355016939</v>
      </c>
      <c r="G79" s="16">
        <f t="shared" ca="1" si="5"/>
        <v>38.252202607739314</v>
      </c>
      <c r="H79" s="16">
        <f t="shared" ca="1" si="5"/>
        <v>30.476631338404285</v>
      </c>
      <c r="I79" s="16">
        <f t="shared" ca="1" si="5"/>
        <v>32.733297939975785</v>
      </c>
      <c r="J79" s="16">
        <f t="shared" ca="1" si="5"/>
        <v>26.794284271338189</v>
      </c>
      <c r="K79" s="16">
        <f t="shared" ca="1" si="5"/>
        <v>33.775689556760561</v>
      </c>
      <c r="L79" s="16">
        <f t="shared" ca="1" si="5"/>
        <v>26.694216635556185</v>
      </c>
    </row>
    <row r="80" spans="2:12" x14ac:dyDescent="0.3">
      <c r="B80" s="16">
        <f t="shared" si="6"/>
        <v>67</v>
      </c>
      <c r="C80" s="16">
        <f t="shared" ca="1" si="5"/>
        <v>35.229646221819152</v>
      </c>
      <c r="D80" s="16">
        <f t="shared" ca="1" si="5"/>
        <v>33.617548409235468</v>
      </c>
      <c r="E80" s="16">
        <f t="shared" ca="1" si="5"/>
        <v>32.205268231005356</v>
      </c>
      <c r="F80" s="16">
        <f t="shared" ca="1" si="5"/>
        <v>31.365066189602153</v>
      </c>
      <c r="G80" s="16">
        <f t="shared" ca="1" si="5"/>
        <v>38.744428379673614</v>
      </c>
      <c r="H80" s="16">
        <f t="shared" ca="1" si="5"/>
        <v>30.62611204031824</v>
      </c>
      <c r="I80" s="16">
        <f t="shared" ca="1" si="5"/>
        <v>32.93810974843408</v>
      </c>
      <c r="J80" s="16">
        <f t="shared" ca="1" si="5"/>
        <v>26.017178707347629</v>
      </c>
      <c r="K80" s="16">
        <f t="shared" ca="1" si="5"/>
        <v>33.908148703086859</v>
      </c>
      <c r="L80" s="16">
        <f t="shared" ca="1" si="5"/>
        <v>26.102991413573442</v>
      </c>
    </row>
    <row r="81" spans="2:12" x14ac:dyDescent="0.3">
      <c r="B81" s="16">
        <f t="shared" si="6"/>
        <v>68</v>
      </c>
      <c r="C81" s="16">
        <f t="shared" ca="1" si="5"/>
        <v>34.782139391047878</v>
      </c>
      <c r="D81" s="16">
        <f t="shared" ca="1" si="5"/>
        <v>33.671261367842789</v>
      </c>
      <c r="E81" s="16">
        <f t="shared" ca="1" si="5"/>
        <v>32.232829925698347</v>
      </c>
      <c r="F81" s="16">
        <f t="shared" ca="1" si="5"/>
        <v>31.39678115487493</v>
      </c>
      <c r="G81" s="16">
        <f t="shared" ca="1" si="5"/>
        <v>39.123489636286266</v>
      </c>
      <c r="H81" s="16">
        <f t="shared" ca="1" si="5"/>
        <v>30.77883963334472</v>
      </c>
      <c r="I81" s="16">
        <f t="shared" ca="1" si="5"/>
        <v>33.284103386779286</v>
      </c>
      <c r="J81" s="16">
        <f t="shared" ca="1" si="5"/>
        <v>26.200254574370909</v>
      </c>
      <c r="K81" s="16">
        <f t="shared" ca="1" si="5"/>
        <v>33.322877093852163</v>
      </c>
      <c r="L81" s="16">
        <f t="shared" ca="1" si="5"/>
        <v>25.986995048829854</v>
      </c>
    </row>
    <row r="82" spans="2:12" x14ac:dyDescent="0.3">
      <c r="B82" s="16">
        <f t="shared" si="6"/>
        <v>69</v>
      </c>
      <c r="C82" s="16">
        <f t="shared" ca="1" si="5"/>
        <v>34.740060503522535</v>
      </c>
      <c r="D82" s="16">
        <f t="shared" ca="1" si="5"/>
        <v>34.286081384495098</v>
      </c>
      <c r="E82" s="16">
        <f t="shared" ca="1" si="5"/>
        <v>32.273188975895309</v>
      </c>
      <c r="F82" s="16">
        <f t="shared" ca="1" si="5"/>
        <v>31.060590557635223</v>
      </c>
      <c r="G82" s="16">
        <f t="shared" ca="1" si="5"/>
        <v>40.086401471722624</v>
      </c>
      <c r="H82" s="16">
        <f t="shared" ca="1" si="5"/>
        <v>30.504950208058592</v>
      </c>
      <c r="I82" s="16">
        <f t="shared" ca="1" si="5"/>
        <v>33.345353259428975</v>
      </c>
      <c r="J82" s="16">
        <f t="shared" ca="1" si="5"/>
        <v>26.501960138125249</v>
      </c>
      <c r="K82" s="16">
        <f t="shared" ca="1" si="5"/>
        <v>32.90161500302338</v>
      </c>
      <c r="L82" s="16">
        <f t="shared" ca="1" si="5"/>
        <v>27.103447473955654</v>
      </c>
    </row>
    <row r="83" spans="2:12" x14ac:dyDescent="0.3">
      <c r="B83" s="16">
        <f t="shared" si="6"/>
        <v>70</v>
      </c>
      <c r="C83" s="16">
        <f t="shared" ca="1" si="5"/>
        <v>34.99579763072726</v>
      </c>
      <c r="D83" s="16">
        <f t="shared" ca="1" si="5"/>
        <v>33.64402163657811</v>
      </c>
      <c r="E83" s="16">
        <f t="shared" ca="1" si="5"/>
        <v>32.218031493431013</v>
      </c>
      <c r="F83" s="16">
        <f t="shared" ca="1" si="5"/>
        <v>31.135279410499244</v>
      </c>
      <c r="G83" s="16">
        <f t="shared" ca="1" si="5"/>
        <v>39.663840681730868</v>
      </c>
      <c r="H83" s="16">
        <f t="shared" ca="1" si="5"/>
        <v>29.622374718851049</v>
      </c>
      <c r="I83" s="16">
        <f t="shared" ca="1" si="5"/>
        <v>33.28418679140912</v>
      </c>
      <c r="J83" s="16">
        <f t="shared" ca="1" si="5"/>
        <v>26.454831530099671</v>
      </c>
      <c r="K83" s="16">
        <f t="shared" ca="1" si="5"/>
        <v>33.019756168794835</v>
      </c>
      <c r="L83" s="16">
        <f t="shared" ca="1" si="5"/>
        <v>26.929053317008535</v>
      </c>
    </row>
    <row r="84" spans="2:12" x14ac:dyDescent="0.3">
      <c r="B84" s="16">
        <f t="shared" si="6"/>
        <v>71</v>
      </c>
      <c r="C84" s="16">
        <f t="shared" ca="1" si="5"/>
        <v>34.336000243762491</v>
      </c>
      <c r="D84" s="16">
        <f t="shared" ca="1" si="5"/>
        <v>33.649146943004347</v>
      </c>
      <c r="E84" s="16">
        <f t="shared" ca="1" si="5"/>
        <v>32.696237449194903</v>
      </c>
      <c r="F84" s="16">
        <f t="shared" ca="1" si="5"/>
        <v>31.366529033234407</v>
      </c>
      <c r="G84" s="16">
        <f t="shared" ca="1" si="5"/>
        <v>39.551396834406447</v>
      </c>
      <c r="H84" s="16">
        <f t="shared" ca="1" si="5"/>
        <v>29.386849101622687</v>
      </c>
      <c r="I84" s="16">
        <f t="shared" ca="1" si="5"/>
        <v>33.434055052379001</v>
      </c>
      <c r="J84" s="16">
        <f t="shared" ca="1" si="5"/>
        <v>25.43703603222928</v>
      </c>
      <c r="K84" s="16">
        <f t="shared" ca="1" si="5"/>
        <v>33.502239088368732</v>
      </c>
      <c r="L84" s="16">
        <f t="shared" ca="1" si="5"/>
        <v>27.018481396022491</v>
      </c>
    </row>
    <row r="85" spans="2:12" x14ac:dyDescent="0.3">
      <c r="B85" s="16">
        <f t="shared" si="6"/>
        <v>72</v>
      </c>
      <c r="C85" s="16">
        <f t="shared" ca="1" si="5"/>
        <v>33.666033586760989</v>
      </c>
      <c r="D85" s="16">
        <f t="shared" ca="1" si="5"/>
        <v>35.433821112375561</v>
      </c>
      <c r="E85" s="16">
        <f t="shared" ca="1" si="5"/>
        <v>33.30635275267128</v>
      </c>
      <c r="F85" s="16">
        <f t="shared" ca="1" si="5"/>
        <v>31.689020416129754</v>
      </c>
      <c r="G85" s="16">
        <f t="shared" ca="1" si="5"/>
        <v>39.341323988705589</v>
      </c>
      <c r="H85" s="16">
        <f t="shared" ca="1" si="5"/>
        <v>29.711863837069469</v>
      </c>
      <c r="I85" s="16">
        <f t="shared" ca="1" si="5"/>
        <v>33.949222427693009</v>
      </c>
      <c r="J85" s="16">
        <f t="shared" ca="1" si="5"/>
        <v>25.847009882785127</v>
      </c>
      <c r="K85" s="16">
        <f t="shared" ca="1" si="5"/>
        <v>33.503912818126466</v>
      </c>
      <c r="L85" s="16">
        <f t="shared" ca="1" si="5"/>
        <v>27.638628940919116</v>
      </c>
    </row>
    <row r="86" spans="2:12" x14ac:dyDescent="0.3">
      <c r="B86" s="16">
        <f t="shared" si="6"/>
        <v>73</v>
      </c>
      <c r="C86" s="16">
        <f t="shared" ca="1" si="5"/>
        <v>33.039458318734177</v>
      </c>
      <c r="D86" s="16">
        <f t="shared" ca="1" si="5"/>
        <v>34.335549395169998</v>
      </c>
      <c r="E86" s="16">
        <f t="shared" ca="1" si="5"/>
        <v>32.53477921060955</v>
      </c>
      <c r="F86" s="16">
        <f t="shared" ca="1" si="5"/>
        <v>31.819648568339158</v>
      </c>
      <c r="G86" s="16">
        <f t="shared" ca="1" si="5"/>
        <v>38.203401613038622</v>
      </c>
      <c r="H86" s="16">
        <f t="shared" ca="1" si="5"/>
        <v>29.20306760733267</v>
      </c>
      <c r="I86" s="16">
        <f t="shared" ca="1" si="5"/>
        <v>33.392210765811583</v>
      </c>
      <c r="J86" s="16">
        <f t="shared" ca="1" si="5"/>
        <v>26.286542009019389</v>
      </c>
      <c r="K86" s="16">
        <f t="shared" ca="1" si="5"/>
        <v>34.114673965288638</v>
      </c>
      <c r="L86" s="16">
        <f t="shared" ca="1" si="5"/>
        <v>27.788654325829242</v>
      </c>
    </row>
    <row r="87" spans="2:12" x14ac:dyDescent="0.3">
      <c r="B87" s="16">
        <f t="shared" si="6"/>
        <v>74</v>
      </c>
      <c r="C87" s="16">
        <f t="shared" ca="1" si="5"/>
        <v>34.448880861417322</v>
      </c>
      <c r="D87" s="16">
        <f t="shared" ca="1" si="5"/>
        <v>33.489523919133141</v>
      </c>
      <c r="E87" s="16">
        <f t="shared" ca="1" si="5"/>
        <v>32.627250351371721</v>
      </c>
      <c r="F87" s="16">
        <f t="shared" ca="1" si="5"/>
        <v>32.363991938786327</v>
      </c>
      <c r="G87" s="16">
        <f t="shared" ca="1" si="5"/>
        <v>38.646533188636155</v>
      </c>
      <c r="H87" s="16">
        <f t="shared" ca="1" si="5"/>
        <v>29.287439035993817</v>
      </c>
      <c r="I87" s="16">
        <f t="shared" ca="1" si="5"/>
        <v>33.621148917274944</v>
      </c>
      <c r="J87" s="16">
        <f t="shared" ca="1" si="5"/>
        <v>25.885975717527664</v>
      </c>
      <c r="K87" s="16">
        <f t="shared" ca="1" si="5"/>
        <v>34.409599695370353</v>
      </c>
      <c r="L87" s="16">
        <f t="shared" ca="1" si="5"/>
        <v>27.6208562400526</v>
      </c>
    </row>
    <row r="88" spans="2:12" x14ac:dyDescent="0.3">
      <c r="B88" s="16">
        <f t="shared" si="6"/>
        <v>75</v>
      </c>
      <c r="C88" s="16">
        <f t="shared" ca="1" si="5"/>
        <v>34.825046927706154</v>
      </c>
      <c r="D88" s="16">
        <f t="shared" ca="1" si="5"/>
        <v>34.864361230865342</v>
      </c>
      <c r="E88" s="16">
        <f t="shared" ca="1" si="5"/>
        <v>32.687635603077311</v>
      </c>
      <c r="F88" s="16">
        <f t="shared" ca="1" si="5"/>
        <v>32.215376724145706</v>
      </c>
      <c r="G88" s="16">
        <f t="shared" ca="1" si="5"/>
        <v>39.53193363312932</v>
      </c>
      <c r="H88" s="16">
        <f t="shared" ca="1" si="5"/>
        <v>29.835985878069351</v>
      </c>
      <c r="I88" s="16">
        <f t="shared" ca="1" si="5"/>
        <v>33.996597586277922</v>
      </c>
      <c r="J88" s="16">
        <f t="shared" ca="1" si="5"/>
        <v>26.009007021517835</v>
      </c>
      <c r="K88" s="16">
        <f t="shared" ca="1" si="5"/>
        <v>34.520416360543841</v>
      </c>
      <c r="L88" s="16">
        <f t="shared" ca="1" si="5"/>
        <v>27.369450784306842</v>
      </c>
    </row>
    <row r="89" spans="2:12" x14ac:dyDescent="0.3">
      <c r="B89" s="16">
        <f t="shared" si="6"/>
        <v>76</v>
      </c>
      <c r="C89" s="16">
        <f t="shared" ca="1" si="5"/>
        <v>34.449172890485023</v>
      </c>
      <c r="D89" s="16">
        <f t="shared" ca="1" si="5"/>
        <v>34.598251986771054</v>
      </c>
      <c r="E89" s="16">
        <f t="shared" ca="1" si="5"/>
        <v>33.844612682047774</v>
      </c>
      <c r="F89" s="16">
        <f t="shared" ca="1" si="5"/>
        <v>32.430205464408182</v>
      </c>
      <c r="G89" s="16">
        <f t="shared" ca="1" si="5"/>
        <v>39.576523262944619</v>
      </c>
      <c r="H89" s="16">
        <f t="shared" ca="1" si="5"/>
        <v>30.024493636743419</v>
      </c>
      <c r="I89" s="16">
        <f t="shared" ca="1" si="5"/>
        <v>34.287815477658839</v>
      </c>
      <c r="J89" s="16">
        <f t="shared" ca="1" si="5"/>
        <v>25.387384635532658</v>
      </c>
      <c r="K89" s="16">
        <f t="shared" ca="1" si="5"/>
        <v>33.773993363377166</v>
      </c>
      <c r="L89" s="16">
        <f t="shared" ca="1" si="5"/>
        <v>26.995032715492577</v>
      </c>
    </row>
    <row r="90" spans="2:12" x14ac:dyDescent="0.3">
      <c r="B90" s="16">
        <f t="shared" si="6"/>
        <v>77</v>
      </c>
      <c r="C90" s="16">
        <f t="shared" ca="1" si="5"/>
        <v>34.534532790607273</v>
      </c>
      <c r="D90" s="16">
        <f t="shared" ca="1" si="5"/>
        <v>33.923293059511458</v>
      </c>
      <c r="E90" s="16">
        <f t="shared" ca="1" si="5"/>
        <v>32.698130709604833</v>
      </c>
      <c r="F90" s="16">
        <f t="shared" ca="1" si="5"/>
        <v>32.126905395577893</v>
      </c>
      <c r="G90" s="16">
        <f t="shared" ca="1" si="5"/>
        <v>39.675123179689862</v>
      </c>
      <c r="H90" s="16">
        <f t="shared" ca="1" si="5"/>
        <v>30.360807215055441</v>
      </c>
      <c r="I90" s="16">
        <f t="shared" ca="1" si="5"/>
        <v>34.481214547354092</v>
      </c>
      <c r="J90" s="16">
        <f t="shared" ca="1" si="5"/>
        <v>25.838345150896103</v>
      </c>
      <c r="K90" s="16">
        <f t="shared" ca="1" si="5"/>
        <v>34.623515246441144</v>
      </c>
      <c r="L90" s="16">
        <f t="shared" ca="1" si="5"/>
        <v>26.424072421419449</v>
      </c>
    </row>
    <row r="91" spans="2:12" x14ac:dyDescent="0.3">
      <c r="B91" s="16">
        <f t="shared" si="6"/>
        <v>78</v>
      </c>
      <c r="C91" s="16">
        <f t="shared" ca="1" si="5"/>
        <v>34.8053047641042</v>
      </c>
      <c r="D91" s="16">
        <f t="shared" ca="1" si="5"/>
        <v>33.609654015042778</v>
      </c>
      <c r="E91" s="16">
        <f t="shared" ca="1" si="5"/>
        <v>32.612966243388755</v>
      </c>
      <c r="F91" s="16">
        <f t="shared" ca="1" si="5"/>
        <v>32.561231240924407</v>
      </c>
      <c r="G91" s="16">
        <f t="shared" ca="1" si="5"/>
        <v>41.030824988457098</v>
      </c>
      <c r="H91" s="16">
        <f t="shared" ca="1" si="5"/>
        <v>31.442665318211073</v>
      </c>
      <c r="I91" s="16">
        <f t="shared" ca="1" si="5"/>
        <v>33.311916659252134</v>
      </c>
      <c r="J91" s="16">
        <f t="shared" ca="1" si="5"/>
        <v>25.664358348826052</v>
      </c>
      <c r="K91" s="16">
        <f t="shared" ca="1" si="5"/>
        <v>33.331592951779129</v>
      </c>
      <c r="L91" s="16">
        <f t="shared" ca="1" si="5"/>
        <v>26.513599770131933</v>
      </c>
    </row>
    <row r="92" spans="2:12" x14ac:dyDescent="0.3">
      <c r="B92" s="16">
        <f t="shared" si="6"/>
        <v>79</v>
      </c>
      <c r="C92" s="16">
        <f t="shared" ca="1" si="5"/>
        <v>33.68872233553757</v>
      </c>
      <c r="D92" s="16">
        <f t="shared" ca="1" si="5"/>
        <v>34.281721234366849</v>
      </c>
      <c r="E92" s="16">
        <f t="shared" ca="1" si="5"/>
        <v>32.777248120353406</v>
      </c>
      <c r="F92" s="16">
        <f t="shared" ca="1" si="5"/>
        <v>32.697753971462525</v>
      </c>
      <c r="G92" s="16">
        <f t="shared" ca="1" si="5"/>
        <v>42.230919716216775</v>
      </c>
      <c r="H92" s="16">
        <f t="shared" ca="1" si="5"/>
        <v>31.329009688216885</v>
      </c>
      <c r="I92" s="16">
        <f t="shared" ca="1" si="5"/>
        <v>32.674523535708346</v>
      </c>
      <c r="J92" s="16">
        <f t="shared" ca="1" si="5"/>
        <v>25.541019117813232</v>
      </c>
      <c r="K92" s="16">
        <f t="shared" ca="1" si="5"/>
        <v>34.07142280972792</v>
      </c>
      <c r="L92" s="16">
        <f t="shared" ca="1" si="5"/>
        <v>25.730851577057628</v>
      </c>
    </row>
    <row r="93" spans="2:12" x14ac:dyDescent="0.3">
      <c r="B93" s="16">
        <f t="shared" si="6"/>
        <v>80</v>
      </c>
      <c r="C93" s="16">
        <f t="shared" ca="1" si="5"/>
        <v>33.701019312524473</v>
      </c>
      <c r="D93" s="16">
        <f t="shared" ca="1" si="5"/>
        <v>34.220739926796583</v>
      </c>
      <c r="E93" s="16">
        <f t="shared" ca="1" si="5"/>
        <v>31.796576904792488</v>
      </c>
      <c r="F93" s="16">
        <f t="shared" ca="1" si="5"/>
        <v>33.520433604426152</v>
      </c>
      <c r="G93" s="16">
        <f t="shared" ca="1" si="5"/>
        <v>41.875741841438092</v>
      </c>
      <c r="H93" s="16">
        <f t="shared" ca="1" si="5"/>
        <v>31.748992320063333</v>
      </c>
      <c r="I93" s="16">
        <f t="shared" ca="1" si="5"/>
        <v>34.473043081692936</v>
      </c>
      <c r="J93" s="16">
        <f t="shared" ca="1" si="5"/>
        <v>25.405389645736577</v>
      </c>
      <c r="K93" s="16">
        <f t="shared" ca="1" si="5"/>
        <v>34.243691349451254</v>
      </c>
      <c r="L93" s="16">
        <f t="shared" ca="1" si="5"/>
        <v>25.197200084221606</v>
      </c>
    </row>
    <row r="94" spans="2:12" x14ac:dyDescent="0.3">
      <c r="B94" s="16">
        <f t="shared" si="6"/>
        <v>81</v>
      </c>
      <c r="C94" s="16">
        <f t="shared" ref="C94:L109" ca="1" si="7">C93*EXP(($E$5-0.5*$E$6*$E$6)*$E$7+$E$6*SQRT($E$7)*_xlfn.NORM.S.INV(RAND()))</f>
        <v>33.645558127773981</v>
      </c>
      <c r="D94" s="16">
        <f t="shared" ca="1" si="7"/>
        <v>33.312011102760074</v>
      </c>
      <c r="E94" s="16">
        <f t="shared" ca="1" si="7"/>
        <v>32.781117847115496</v>
      </c>
      <c r="F94" s="16">
        <f t="shared" ca="1" si="7"/>
        <v>34.251472746433485</v>
      </c>
      <c r="G94" s="16">
        <f t="shared" ca="1" si="7"/>
        <v>41.690410874805011</v>
      </c>
      <c r="H94" s="16">
        <f t="shared" ca="1" si="7"/>
        <v>31.738563285308857</v>
      </c>
      <c r="I94" s="16">
        <f t="shared" ca="1" si="7"/>
        <v>34.18189911283811</v>
      </c>
      <c r="J94" s="16">
        <f t="shared" ca="1" si="7"/>
        <v>24.837701024239728</v>
      </c>
      <c r="K94" s="16">
        <f t="shared" ca="1" si="7"/>
        <v>35.228929444832069</v>
      </c>
      <c r="L94" s="16">
        <f t="shared" ca="1" si="7"/>
        <v>25.941571339677399</v>
      </c>
    </row>
    <row r="95" spans="2:12" x14ac:dyDescent="0.3">
      <c r="B95" s="16">
        <f t="shared" si="6"/>
        <v>82</v>
      </c>
      <c r="C95" s="16">
        <f t="shared" ca="1" si="7"/>
        <v>34.036708689154786</v>
      </c>
      <c r="D95" s="16">
        <f t="shared" ca="1" si="7"/>
        <v>33.451502156408658</v>
      </c>
      <c r="E95" s="16">
        <f t="shared" ca="1" si="7"/>
        <v>32.449603726942144</v>
      </c>
      <c r="F95" s="16">
        <f t="shared" ca="1" si="7"/>
        <v>35.45614544209775</v>
      </c>
      <c r="G95" s="16">
        <f t="shared" ca="1" si="7"/>
        <v>42.475892378307258</v>
      </c>
      <c r="H95" s="16">
        <f t="shared" ca="1" si="7"/>
        <v>31.222270022267093</v>
      </c>
      <c r="I95" s="16">
        <f t="shared" ca="1" si="7"/>
        <v>33.604565045350355</v>
      </c>
      <c r="J95" s="16">
        <f t="shared" ca="1" si="7"/>
        <v>24.783435310533509</v>
      </c>
      <c r="K95" s="16">
        <f t="shared" ca="1" si="7"/>
        <v>35.980662436303945</v>
      </c>
      <c r="L95" s="16">
        <f t="shared" ca="1" si="7"/>
        <v>26.217663055778978</v>
      </c>
    </row>
    <row r="96" spans="2:12" x14ac:dyDescent="0.3">
      <c r="B96" s="16">
        <f t="shared" si="6"/>
        <v>83</v>
      </c>
      <c r="C96" s="16">
        <f t="shared" ca="1" si="7"/>
        <v>34.420656651350875</v>
      </c>
      <c r="D96" s="16">
        <f t="shared" ca="1" si="7"/>
        <v>32.480722090731319</v>
      </c>
      <c r="E96" s="16">
        <f t="shared" ca="1" si="7"/>
        <v>32.148502023626484</v>
      </c>
      <c r="F96" s="16">
        <f t="shared" ca="1" si="7"/>
        <v>36.053528068488347</v>
      </c>
      <c r="G96" s="16">
        <f t="shared" ca="1" si="7"/>
        <v>42.110750222062045</v>
      </c>
      <c r="H96" s="16">
        <f t="shared" ca="1" si="7"/>
        <v>30.738393484507263</v>
      </c>
      <c r="I96" s="16">
        <f t="shared" ca="1" si="7"/>
        <v>34.651006172377038</v>
      </c>
      <c r="J96" s="16">
        <f t="shared" ca="1" si="7"/>
        <v>24.881735308803449</v>
      </c>
      <c r="K96" s="16">
        <f t="shared" ca="1" si="7"/>
        <v>36.440915494147525</v>
      </c>
      <c r="L96" s="16">
        <f t="shared" ca="1" si="7"/>
        <v>26.98740370873243</v>
      </c>
    </row>
    <row r="97" spans="2:12" x14ac:dyDescent="0.3">
      <c r="B97" s="16">
        <f t="shared" si="6"/>
        <v>84</v>
      </c>
      <c r="C97" s="16">
        <f t="shared" ca="1" si="7"/>
        <v>35.198967261171369</v>
      </c>
      <c r="D97" s="16">
        <f t="shared" ca="1" si="7"/>
        <v>31.493277071490951</v>
      </c>
      <c r="E97" s="16">
        <f t="shared" ca="1" si="7"/>
        <v>31.279750310561319</v>
      </c>
      <c r="F97" s="16">
        <f t="shared" ca="1" si="7"/>
        <v>36.49282770793517</v>
      </c>
      <c r="G97" s="16">
        <f t="shared" ca="1" si="7"/>
        <v>42.030550190110937</v>
      </c>
      <c r="H97" s="16">
        <f t="shared" ca="1" si="7"/>
        <v>30.429444123415333</v>
      </c>
      <c r="I97" s="16">
        <f t="shared" ca="1" si="7"/>
        <v>35.586097694890263</v>
      </c>
      <c r="J97" s="16">
        <f t="shared" ca="1" si="7"/>
        <v>25.615020538043943</v>
      </c>
      <c r="K97" s="16">
        <f t="shared" ca="1" si="7"/>
        <v>36.500521509064498</v>
      </c>
      <c r="L97" s="16">
        <f t="shared" ca="1" si="7"/>
        <v>26.726791188900989</v>
      </c>
    </row>
    <row r="98" spans="2:12" x14ac:dyDescent="0.3">
      <c r="B98" s="16">
        <f t="shared" si="6"/>
        <v>85</v>
      </c>
      <c r="C98" s="16">
        <f t="shared" ca="1" si="7"/>
        <v>33.791399737407914</v>
      </c>
      <c r="D98" s="16">
        <f t="shared" ca="1" si="7"/>
        <v>32.078746794734137</v>
      </c>
      <c r="E98" s="16">
        <f t="shared" ca="1" si="7"/>
        <v>31.30403982072017</v>
      </c>
      <c r="F98" s="16">
        <f t="shared" ca="1" si="7"/>
        <v>36.526307438881361</v>
      </c>
      <c r="G98" s="16">
        <f t="shared" ca="1" si="7"/>
        <v>41.9746231902323</v>
      </c>
      <c r="H98" s="16">
        <f t="shared" ca="1" si="7"/>
        <v>30.235422292737205</v>
      </c>
      <c r="I98" s="16">
        <f t="shared" ca="1" si="7"/>
        <v>35.780551498062536</v>
      </c>
      <c r="J98" s="16">
        <f t="shared" ca="1" si="7"/>
        <v>25.288598151736828</v>
      </c>
      <c r="K98" s="16">
        <f t="shared" ca="1" si="7"/>
        <v>37.69033968255394</v>
      </c>
      <c r="L98" s="16">
        <f t="shared" ca="1" si="7"/>
        <v>27.372558253055118</v>
      </c>
    </row>
    <row r="99" spans="2:12" x14ac:dyDescent="0.3">
      <c r="B99" s="16">
        <f t="shared" si="6"/>
        <v>86</v>
      </c>
      <c r="C99" s="16">
        <f t="shared" ca="1" si="7"/>
        <v>33.770138979090412</v>
      </c>
      <c r="D99" s="16">
        <f t="shared" ca="1" si="7"/>
        <v>32.40644444949011</v>
      </c>
      <c r="E99" s="16">
        <f t="shared" ca="1" si="7"/>
        <v>30.481210141128081</v>
      </c>
      <c r="F99" s="16">
        <f t="shared" ca="1" si="7"/>
        <v>36.303765639101584</v>
      </c>
      <c r="G99" s="16">
        <f t="shared" ca="1" si="7"/>
        <v>42.002537320970852</v>
      </c>
      <c r="H99" s="16">
        <f t="shared" ca="1" si="7"/>
        <v>29.412765197354723</v>
      </c>
      <c r="I99" s="16">
        <f t="shared" ca="1" si="7"/>
        <v>35.85960394444583</v>
      </c>
      <c r="J99" s="16">
        <f t="shared" ca="1" si="7"/>
        <v>25.517317432226186</v>
      </c>
      <c r="K99" s="16">
        <f t="shared" ca="1" si="7"/>
        <v>38.634493657394458</v>
      </c>
      <c r="L99" s="16">
        <f t="shared" ca="1" si="7"/>
        <v>27.537419371219958</v>
      </c>
    </row>
    <row r="100" spans="2:12" x14ac:dyDescent="0.3">
      <c r="B100" s="16">
        <f t="shared" si="6"/>
        <v>87</v>
      </c>
      <c r="C100" s="16">
        <f t="shared" ca="1" si="7"/>
        <v>32.680231904861721</v>
      </c>
      <c r="D100" s="16">
        <f t="shared" ca="1" si="7"/>
        <v>31.920188276278218</v>
      </c>
      <c r="E100" s="16">
        <f t="shared" ca="1" si="7"/>
        <v>30.275608576519819</v>
      </c>
      <c r="F100" s="16">
        <f t="shared" ca="1" si="7"/>
        <v>36.327609893062117</v>
      </c>
      <c r="G100" s="16">
        <f t="shared" ca="1" si="7"/>
        <v>42.798412895173378</v>
      </c>
      <c r="H100" s="16">
        <f t="shared" ca="1" si="7"/>
        <v>29.392705080201065</v>
      </c>
      <c r="I100" s="16">
        <f t="shared" ca="1" si="7"/>
        <v>35.08083095098079</v>
      </c>
      <c r="J100" s="16">
        <f t="shared" ca="1" si="7"/>
        <v>26.422155663458817</v>
      </c>
      <c r="K100" s="16">
        <f t="shared" ca="1" si="7"/>
        <v>38.896126171900619</v>
      </c>
      <c r="L100" s="16">
        <f t="shared" ca="1" si="7"/>
        <v>27.70694108149965</v>
      </c>
    </row>
    <row r="101" spans="2:12" x14ac:dyDescent="0.3">
      <c r="B101" s="16">
        <f t="shared" si="6"/>
        <v>88</v>
      </c>
      <c r="C101" s="16">
        <f t="shared" ca="1" si="7"/>
        <v>32.026325094076419</v>
      </c>
      <c r="D101" s="16">
        <f t="shared" ca="1" si="7"/>
        <v>32.128541118013935</v>
      </c>
      <c r="E101" s="16">
        <f t="shared" ca="1" si="7"/>
        <v>30.326780889445505</v>
      </c>
      <c r="F101" s="16">
        <f t="shared" ca="1" si="7"/>
        <v>36.194421347508197</v>
      </c>
      <c r="G101" s="16">
        <f t="shared" ca="1" si="7"/>
        <v>42.681473613232505</v>
      </c>
      <c r="H101" s="16">
        <f t="shared" ca="1" si="7"/>
        <v>30.192647876637086</v>
      </c>
      <c r="I101" s="16">
        <f t="shared" ca="1" si="7"/>
        <v>34.725490230557597</v>
      </c>
      <c r="J101" s="16">
        <f t="shared" ca="1" si="7"/>
        <v>26.255311119316769</v>
      </c>
      <c r="K101" s="16">
        <f t="shared" ca="1" si="7"/>
        <v>38.866647601084182</v>
      </c>
      <c r="L101" s="16">
        <f t="shared" ca="1" si="7"/>
        <v>28.228016350325198</v>
      </c>
    </row>
    <row r="102" spans="2:12" x14ac:dyDescent="0.3">
      <c r="B102" s="16">
        <f t="shared" si="6"/>
        <v>89</v>
      </c>
      <c r="C102" s="16">
        <f t="shared" ca="1" si="7"/>
        <v>31.967627886638972</v>
      </c>
      <c r="D102" s="16">
        <f t="shared" ca="1" si="7"/>
        <v>33.211761808189607</v>
      </c>
      <c r="E102" s="16">
        <f t="shared" ca="1" si="7"/>
        <v>31.032385368909662</v>
      </c>
      <c r="F102" s="16">
        <f t="shared" ca="1" si="7"/>
        <v>35.827624376035253</v>
      </c>
      <c r="G102" s="16">
        <f t="shared" ca="1" si="7"/>
        <v>42.941349341148261</v>
      </c>
      <c r="H102" s="16">
        <f t="shared" ca="1" si="7"/>
        <v>30.380634097160126</v>
      </c>
      <c r="I102" s="16">
        <f t="shared" ca="1" si="7"/>
        <v>34.730910839951449</v>
      </c>
      <c r="J102" s="16">
        <f t="shared" ca="1" si="7"/>
        <v>25.777720925564665</v>
      </c>
      <c r="K102" s="16">
        <f t="shared" ca="1" si="7"/>
        <v>38.560955878703133</v>
      </c>
      <c r="L102" s="16">
        <f t="shared" ca="1" si="7"/>
        <v>29.658671382708647</v>
      </c>
    </row>
    <row r="103" spans="2:12" x14ac:dyDescent="0.3">
      <c r="B103" s="16">
        <f t="shared" si="6"/>
        <v>90</v>
      </c>
      <c r="C103" s="16">
        <f t="shared" ca="1" si="7"/>
        <v>32.214383282412399</v>
      </c>
      <c r="D103" s="16">
        <f t="shared" ca="1" si="7"/>
        <v>33.622480840986633</v>
      </c>
      <c r="E103" s="16">
        <f t="shared" ca="1" si="7"/>
        <v>32.685045351233654</v>
      </c>
      <c r="F103" s="16">
        <f t="shared" ca="1" si="7"/>
        <v>36.019381160095321</v>
      </c>
      <c r="G103" s="16">
        <f t="shared" ca="1" si="7"/>
        <v>43.75403687503993</v>
      </c>
      <c r="H103" s="16">
        <f t="shared" ca="1" si="7"/>
        <v>30.795453861269163</v>
      </c>
      <c r="I103" s="16">
        <f t="shared" ca="1" si="7"/>
        <v>34.602781160120564</v>
      </c>
      <c r="J103" s="16">
        <f t="shared" ca="1" si="7"/>
        <v>26.641500157728672</v>
      </c>
      <c r="K103" s="16">
        <f t="shared" ca="1" si="7"/>
        <v>37.885728557951708</v>
      </c>
      <c r="L103" s="16">
        <f t="shared" ca="1" si="7"/>
        <v>29.833199895051607</v>
      </c>
    </row>
    <row r="104" spans="2:12" x14ac:dyDescent="0.3">
      <c r="B104" s="16">
        <f t="shared" si="6"/>
        <v>91</v>
      </c>
      <c r="C104" s="16">
        <f t="shared" ca="1" si="7"/>
        <v>32.438651088993907</v>
      </c>
      <c r="D104" s="16">
        <f t="shared" ca="1" si="7"/>
        <v>34.352220223790717</v>
      </c>
      <c r="E104" s="16">
        <f t="shared" ca="1" si="7"/>
        <v>32.126241897562885</v>
      </c>
      <c r="F104" s="16">
        <f t="shared" ca="1" si="7"/>
        <v>35.656614981106962</v>
      </c>
      <c r="G104" s="16">
        <f t="shared" ca="1" si="7"/>
        <v>43.75497510013107</v>
      </c>
      <c r="H104" s="16">
        <f t="shared" ca="1" si="7"/>
        <v>31.812404622933705</v>
      </c>
      <c r="I104" s="16">
        <f t="shared" ca="1" si="7"/>
        <v>33.667393524082676</v>
      </c>
      <c r="J104" s="16">
        <f t="shared" ca="1" si="7"/>
        <v>27.18037937351016</v>
      </c>
      <c r="K104" s="16">
        <f t="shared" ca="1" si="7"/>
        <v>38.796723086963226</v>
      </c>
      <c r="L104" s="16">
        <f t="shared" ca="1" si="7"/>
        <v>30.082125709025753</v>
      </c>
    </row>
    <row r="105" spans="2:12" x14ac:dyDescent="0.3">
      <c r="B105" s="16">
        <f t="shared" si="6"/>
        <v>92</v>
      </c>
      <c r="C105" s="16">
        <f t="shared" ca="1" si="7"/>
        <v>33.506725159201288</v>
      </c>
      <c r="D105" s="16">
        <f t="shared" ca="1" si="7"/>
        <v>33.812188460901908</v>
      </c>
      <c r="E105" s="16">
        <f t="shared" ca="1" si="7"/>
        <v>31.853259066289972</v>
      </c>
      <c r="F105" s="16">
        <f t="shared" ca="1" si="7"/>
        <v>36.706516397477301</v>
      </c>
      <c r="G105" s="16">
        <f t="shared" ca="1" si="7"/>
        <v>43.203908963975678</v>
      </c>
      <c r="H105" s="16">
        <f t="shared" ca="1" si="7"/>
        <v>31.388714621189948</v>
      </c>
      <c r="I105" s="16">
        <f t="shared" ca="1" si="7"/>
        <v>34.311294554859806</v>
      </c>
      <c r="J105" s="16">
        <f t="shared" ca="1" si="7"/>
        <v>27.376938275672423</v>
      </c>
      <c r="K105" s="16">
        <f t="shared" ca="1" si="7"/>
        <v>38.660730652976831</v>
      </c>
      <c r="L105" s="16">
        <f t="shared" ca="1" si="7"/>
        <v>29.815300431289021</v>
      </c>
    </row>
    <row r="106" spans="2:12" x14ac:dyDescent="0.3">
      <c r="B106" s="16">
        <f t="shared" si="6"/>
        <v>93</v>
      </c>
      <c r="C106" s="16">
        <f t="shared" ca="1" si="7"/>
        <v>33.637687750850091</v>
      </c>
      <c r="D106" s="16">
        <f t="shared" ca="1" si="7"/>
        <v>34.085279439673371</v>
      </c>
      <c r="E106" s="16">
        <f t="shared" ca="1" si="7"/>
        <v>31.850933236291365</v>
      </c>
      <c r="F106" s="16">
        <f t="shared" ca="1" si="7"/>
        <v>36.752869941646942</v>
      </c>
      <c r="G106" s="16">
        <f t="shared" ca="1" si="7"/>
        <v>42.807189988038765</v>
      </c>
      <c r="H106" s="16">
        <f t="shared" ca="1" si="7"/>
        <v>31.153093444021852</v>
      </c>
      <c r="I106" s="16">
        <f t="shared" ca="1" si="7"/>
        <v>33.767086358802885</v>
      </c>
      <c r="J106" s="16">
        <f t="shared" ca="1" si="7"/>
        <v>27.52105595910233</v>
      </c>
      <c r="K106" s="16">
        <f t="shared" ca="1" si="7"/>
        <v>38.853596051616442</v>
      </c>
      <c r="L106" s="16">
        <f t="shared" ca="1" si="7"/>
        <v>29.938766069485258</v>
      </c>
    </row>
    <row r="107" spans="2:12" x14ac:dyDescent="0.3">
      <c r="B107" s="16">
        <f t="shared" si="6"/>
        <v>94</v>
      </c>
      <c r="C107" s="16">
        <f t="shared" ca="1" si="7"/>
        <v>32.948227779242231</v>
      </c>
      <c r="D107" s="16">
        <f t="shared" ca="1" si="7"/>
        <v>33.983557453053592</v>
      </c>
      <c r="E107" s="16">
        <f t="shared" ca="1" si="7"/>
        <v>31.741598021419041</v>
      </c>
      <c r="F107" s="16">
        <f t="shared" ca="1" si="7"/>
        <v>37.113316317989138</v>
      </c>
      <c r="G107" s="16">
        <f t="shared" ca="1" si="7"/>
        <v>42.273513860400435</v>
      </c>
      <c r="H107" s="16">
        <f t="shared" ca="1" si="7"/>
        <v>30.885282027769492</v>
      </c>
      <c r="I107" s="16">
        <f t="shared" ca="1" si="7"/>
        <v>33.029661243130434</v>
      </c>
      <c r="J107" s="16">
        <f t="shared" ca="1" si="7"/>
        <v>27.545165734251427</v>
      </c>
      <c r="K107" s="16">
        <f t="shared" ca="1" si="7"/>
        <v>38.925548204436986</v>
      </c>
      <c r="L107" s="16">
        <f t="shared" ca="1" si="7"/>
        <v>29.707292473170767</v>
      </c>
    </row>
    <row r="108" spans="2:12" x14ac:dyDescent="0.3">
      <c r="B108" s="16">
        <f t="shared" si="6"/>
        <v>95</v>
      </c>
      <c r="C108" s="16">
        <f t="shared" ca="1" si="7"/>
        <v>32.573050664498396</v>
      </c>
      <c r="D108" s="16">
        <f t="shared" ca="1" si="7"/>
        <v>35.331302103125701</v>
      </c>
      <c r="E108" s="16">
        <f t="shared" ca="1" si="7"/>
        <v>32.75490621687414</v>
      </c>
      <c r="F108" s="16">
        <f t="shared" ca="1" si="7"/>
        <v>36.952297541660641</v>
      </c>
      <c r="G108" s="16">
        <f t="shared" ca="1" si="7"/>
        <v>42.495001197945108</v>
      </c>
      <c r="H108" s="16">
        <f t="shared" ca="1" si="7"/>
        <v>30.872721030438267</v>
      </c>
      <c r="I108" s="16">
        <f t="shared" ca="1" si="7"/>
        <v>32.831145811224594</v>
      </c>
      <c r="J108" s="16">
        <f t="shared" ca="1" si="7"/>
        <v>27.572966816880822</v>
      </c>
      <c r="K108" s="16">
        <f t="shared" ca="1" si="7"/>
        <v>39.242502048195192</v>
      </c>
      <c r="L108" s="16">
        <f t="shared" ca="1" si="7"/>
        <v>29.937534396755563</v>
      </c>
    </row>
    <row r="109" spans="2:12" x14ac:dyDescent="0.3">
      <c r="B109" s="16">
        <f t="shared" si="6"/>
        <v>96</v>
      </c>
      <c r="C109" s="16">
        <f t="shared" ca="1" si="7"/>
        <v>32.94265419819407</v>
      </c>
      <c r="D109" s="16">
        <f t="shared" ca="1" si="7"/>
        <v>34.711931134648914</v>
      </c>
      <c r="E109" s="16">
        <f t="shared" ca="1" si="7"/>
        <v>33.183834702914673</v>
      </c>
      <c r="F109" s="16">
        <f t="shared" ca="1" si="7"/>
        <v>38.080701302047508</v>
      </c>
      <c r="G109" s="16">
        <f t="shared" ca="1" si="7"/>
        <v>42.908758388890149</v>
      </c>
      <c r="H109" s="16">
        <f t="shared" ca="1" si="7"/>
        <v>31.229861587153909</v>
      </c>
      <c r="I109" s="16">
        <f t="shared" ca="1" si="7"/>
        <v>33.434729680267111</v>
      </c>
      <c r="J109" s="16">
        <f t="shared" ca="1" si="7"/>
        <v>27.169747381476355</v>
      </c>
      <c r="K109" s="16">
        <f t="shared" ca="1" si="7"/>
        <v>39.08751510831712</v>
      </c>
      <c r="L109" s="16">
        <f t="shared" ca="1" si="7"/>
        <v>28.887459000911495</v>
      </c>
    </row>
    <row r="110" spans="2:12" x14ac:dyDescent="0.3">
      <c r="B110" s="16">
        <f t="shared" si="6"/>
        <v>97</v>
      </c>
      <c r="C110" s="16">
        <f t="shared" ref="C110:L125" ca="1" si="8">C109*EXP(($E$5-0.5*$E$6*$E$6)*$E$7+$E$6*SQRT($E$7)*_xlfn.NORM.S.INV(RAND()))</f>
        <v>32.821447704097089</v>
      </c>
      <c r="D110" s="16">
        <f t="shared" ca="1" si="8"/>
        <v>33.854006841199549</v>
      </c>
      <c r="E110" s="16">
        <f t="shared" ca="1" si="8"/>
        <v>33.197998725379215</v>
      </c>
      <c r="F110" s="16">
        <f t="shared" ca="1" si="8"/>
        <v>39.387086860809205</v>
      </c>
      <c r="G110" s="16">
        <f t="shared" ca="1" si="8"/>
        <v>41.422000453070098</v>
      </c>
      <c r="H110" s="16">
        <f t="shared" ca="1" si="8"/>
        <v>30.201585715411877</v>
      </c>
      <c r="I110" s="16">
        <f t="shared" ca="1" si="8"/>
        <v>33.589853523520276</v>
      </c>
      <c r="J110" s="16">
        <f t="shared" ca="1" si="8"/>
        <v>27.42927180167279</v>
      </c>
      <c r="K110" s="16">
        <f t="shared" ca="1" si="8"/>
        <v>38.952571730129698</v>
      </c>
      <c r="L110" s="16">
        <f t="shared" ca="1" si="8"/>
        <v>29.647228416530716</v>
      </c>
    </row>
    <row r="111" spans="2:12" x14ac:dyDescent="0.3">
      <c r="B111" s="16">
        <f t="shared" si="6"/>
        <v>98</v>
      </c>
      <c r="C111" s="16">
        <f t="shared" ca="1" si="8"/>
        <v>33.243272940260439</v>
      </c>
      <c r="D111" s="16">
        <f t="shared" ca="1" si="8"/>
        <v>33.328425473105192</v>
      </c>
      <c r="E111" s="16">
        <f t="shared" ca="1" si="8"/>
        <v>32.087499212377935</v>
      </c>
      <c r="F111" s="16">
        <f t="shared" ca="1" si="8"/>
        <v>39.213087858989461</v>
      </c>
      <c r="G111" s="16">
        <f t="shared" ca="1" si="8"/>
        <v>41.779920214937775</v>
      </c>
      <c r="H111" s="16">
        <f t="shared" ca="1" si="8"/>
        <v>30.430925693675412</v>
      </c>
      <c r="I111" s="16">
        <f t="shared" ca="1" si="8"/>
        <v>34.059427149421779</v>
      </c>
      <c r="J111" s="16">
        <f t="shared" ca="1" si="8"/>
        <v>27.740885002983148</v>
      </c>
      <c r="K111" s="16">
        <f t="shared" ca="1" si="8"/>
        <v>37.454657466679642</v>
      </c>
      <c r="L111" s="16">
        <f t="shared" ca="1" si="8"/>
        <v>29.09891705540689</v>
      </c>
    </row>
    <row r="112" spans="2:12" x14ac:dyDescent="0.3">
      <c r="B112" s="16">
        <f t="shared" si="6"/>
        <v>99</v>
      </c>
      <c r="C112" s="16">
        <f t="shared" ca="1" si="8"/>
        <v>33.74559566794246</v>
      </c>
      <c r="D112" s="16">
        <f t="shared" ca="1" si="8"/>
        <v>34.518850971326962</v>
      </c>
      <c r="E112" s="16">
        <f t="shared" ca="1" si="8"/>
        <v>31.703457430367557</v>
      </c>
      <c r="F112" s="16">
        <f t="shared" ca="1" si="8"/>
        <v>39.283261291969069</v>
      </c>
      <c r="G112" s="16">
        <f t="shared" ca="1" si="8"/>
        <v>41.131735447834025</v>
      </c>
      <c r="H112" s="16">
        <f t="shared" ca="1" si="8"/>
        <v>29.423708902545432</v>
      </c>
      <c r="I112" s="16">
        <f t="shared" ca="1" si="8"/>
        <v>33.764590313076027</v>
      </c>
      <c r="J112" s="16">
        <f t="shared" ca="1" si="8"/>
        <v>28.225774349506498</v>
      </c>
      <c r="K112" s="16">
        <f t="shared" ca="1" si="8"/>
        <v>37.354413895259718</v>
      </c>
      <c r="L112" s="16">
        <f t="shared" ca="1" si="8"/>
        <v>29.373854107087755</v>
      </c>
    </row>
    <row r="113" spans="2:12" x14ac:dyDescent="0.3">
      <c r="B113" s="16">
        <f t="shared" si="6"/>
        <v>100</v>
      </c>
      <c r="C113" s="16">
        <f t="shared" ca="1" si="8"/>
        <v>33.088342463988184</v>
      </c>
      <c r="D113" s="16">
        <f t="shared" ca="1" si="8"/>
        <v>34.423425899716094</v>
      </c>
      <c r="E113" s="16">
        <f t="shared" ca="1" si="8"/>
        <v>32.621000831224102</v>
      </c>
      <c r="F113" s="16">
        <f t="shared" ca="1" si="8"/>
        <v>39.405448882123842</v>
      </c>
      <c r="G113" s="16">
        <f t="shared" ca="1" si="8"/>
        <v>40.909788776946499</v>
      </c>
      <c r="H113" s="16">
        <f t="shared" ca="1" si="8"/>
        <v>29.418482881331801</v>
      </c>
      <c r="I113" s="16">
        <f t="shared" ca="1" si="8"/>
        <v>32.996118820376765</v>
      </c>
      <c r="J113" s="16">
        <f t="shared" ca="1" si="8"/>
        <v>27.422418603946497</v>
      </c>
      <c r="K113" s="16">
        <f t="shared" ca="1" si="8"/>
        <v>37.332019042194908</v>
      </c>
      <c r="L113" s="16">
        <f t="shared" ca="1" si="8"/>
        <v>28.942024479566207</v>
      </c>
    </row>
    <row r="114" spans="2:12" x14ac:dyDescent="0.3">
      <c r="B114" s="16">
        <f t="shared" si="6"/>
        <v>101</v>
      </c>
      <c r="C114" s="16">
        <f t="shared" ca="1" si="8"/>
        <v>33.562685554173868</v>
      </c>
      <c r="D114" s="16">
        <f t="shared" ca="1" si="8"/>
        <v>34.175694231171391</v>
      </c>
      <c r="E114" s="16">
        <f t="shared" ca="1" si="8"/>
        <v>33.512346276417361</v>
      </c>
      <c r="F114" s="16">
        <f t="shared" ca="1" si="8"/>
        <v>39.409239818849635</v>
      </c>
      <c r="G114" s="16">
        <f t="shared" ca="1" si="8"/>
        <v>40.621710347965625</v>
      </c>
      <c r="H114" s="16">
        <f t="shared" ca="1" si="8"/>
        <v>28.518108331296329</v>
      </c>
      <c r="I114" s="16">
        <f t="shared" ca="1" si="8"/>
        <v>32.927840710627187</v>
      </c>
      <c r="J114" s="16">
        <f t="shared" ca="1" si="8"/>
        <v>27.692718256345511</v>
      </c>
      <c r="K114" s="16">
        <f t="shared" ca="1" si="8"/>
        <v>36.117967963928464</v>
      </c>
      <c r="L114" s="16">
        <f t="shared" ca="1" si="8"/>
        <v>29.537097950910741</v>
      </c>
    </row>
    <row r="115" spans="2:12" x14ac:dyDescent="0.3">
      <c r="B115" s="16">
        <f t="shared" si="6"/>
        <v>102</v>
      </c>
      <c r="C115" s="16">
        <f t="shared" ca="1" si="8"/>
        <v>33.548757126476183</v>
      </c>
      <c r="D115" s="16">
        <f t="shared" ca="1" si="8"/>
        <v>33.481061291798852</v>
      </c>
      <c r="E115" s="16">
        <f t="shared" ca="1" si="8"/>
        <v>33.313455626232781</v>
      </c>
      <c r="F115" s="16">
        <f t="shared" ca="1" si="8"/>
        <v>39.255578346095874</v>
      </c>
      <c r="G115" s="16">
        <f t="shared" ca="1" si="8"/>
        <v>40.391551479454527</v>
      </c>
      <c r="H115" s="16">
        <f t="shared" ca="1" si="8"/>
        <v>28.360054720362633</v>
      </c>
      <c r="I115" s="16">
        <f t="shared" ca="1" si="8"/>
        <v>33.584895755722492</v>
      </c>
      <c r="J115" s="16">
        <f t="shared" ca="1" si="8"/>
        <v>27.281918862948533</v>
      </c>
      <c r="K115" s="16">
        <f t="shared" ca="1" si="8"/>
        <v>36.788819198334899</v>
      </c>
      <c r="L115" s="16">
        <f t="shared" ca="1" si="8"/>
        <v>29.893735745724129</v>
      </c>
    </row>
    <row r="116" spans="2:12" x14ac:dyDescent="0.3">
      <c r="B116" s="16">
        <f t="shared" si="6"/>
        <v>103</v>
      </c>
      <c r="C116" s="16">
        <f t="shared" ca="1" si="8"/>
        <v>34.195954180727497</v>
      </c>
      <c r="D116" s="16">
        <f t="shared" ca="1" si="8"/>
        <v>33.351849485558624</v>
      </c>
      <c r="E116" s="16">
        <f t="shared" ca="1" si="8"/>
        <v>33.774490829533171</v>
      </c>
      <c r="F116" s="16">
        <f t="shared" ca="1" si="8"/>
        <v>39.555609068366678</v>
      </c>
      <c r="G116" s="16">
        <f t="shared" ca="1" si="8"/>
        <v>39.762080964315722</v>
      </c>
      <c r="H116" s="16">
        <f t="shared" ca="1" si="8"/>
        <v>27.307550440292562</v>
      </c>
      <c r="I116" s="16">
        <f t="shared" ca="1" si="8"/>
        <v>32.880618205444357</v>
      </c>
      <c r="J116" s="16">
        <f t="shared" ca="1" si="8"/>
        <v>27.116273784770655</v>
      </c>
      <c r="K116" s="16">
        <f t="shared" ca="1" si="8"/>
        <v>36.866269189212758</v>
      </c>
      <c r="L116" s="16">
        <f t="shared" ca="1" si="8"/>
        <v>29.358936977564834</v>
      </c>
    </row>
    <row r="117" spans="2:12" x14ac:dyDescent="0.3">
      <c r="B117" s="16">
        <f t="shared" si="6"/>
        <v>104</v>
      </c>
      <c r="C117" s="16">
        <f t="shared" ca="1" si="8"/>
        <v>34.058818942427223</v>
      </c>
      <c r="D117" s="16">
        <f t="shared" ca="1" si="8"/>
        <v>33.359379472089131</v>
      </c>
      <c r="E117" s="16">
        <f t="shared" ca="1" si="8"/>
        <v>33.991136663265664</v>
      </c>
      <c r="F117" s="16">
        <f t="shared" ca="1" si="8"/>
        <v>40.134395117119396</v>
      </c>
      <c r="G117" s="16">
        <f t="shared" ca="1" si="8"/>
        <v>39.447651217397755</v>
      </c>
      <c r="H117" s="16">
        <f t="shared" ca="1" si="8"/>
        <v>27.785674142978127</v>
      </c>
      <c r="I117" s="16">
        <f t="shared" ca="1" si="8"/>
        <v>33.598803353515024</v>
      </c>
      <c r="J117" s="16">
        <f t="shared" ca="1" si="8"/>
        <v>26.302872716675342</v>
      </c>
      <c r="K117" s="16">
        <f t="shared" ca="1" si="8"/>
        <v>35.982753384022125</v>
      </c>
      <c r="L117" s="16">
        <f t="shared" ca="1" si="8"/>
        <v>29.310414514466856</v>
      </c>
    </row>
    <row r="118" spans="2:12" x14ac:dyDescent="0.3">
      <c r="B118" s="16">
        <f t="shared" si="6"/>
        <v>105</v>
      </c>
      <c r="C118" s="16">
        <f t="shared" ca="1" si="8"/>
        <v>33.859564654278358</v>
      </c>
      <c r="D118" s="16">
        <f t="shared" ca="1" si="8"/>
        <v>33.211570895527522</v>
      </c>
      <c r="E118" s="16">
        <f t="shared" ca="1" si="8"/>
        <v>33.55016611948264</v>
      </c>
      <c r="F118" s="16">
        <f t="shared" ca="1" si="8"/>
        <v>39.946605187027494</v>
      </c>
      <c r="G118" s="16">
        <f t="shared" ca="1" si="8"/>
        <v>39.402404979069438</v>
      </c>
      <c r="H118" s="16">
        <f t="shared" ca="1" si="8"/>
        <v>27.789526802771366</v>
      </c>
      <c r="I118" s="16">
        <f t="shared" ca="1" si="8"/>
        <v>34.069387905515832</v>
      </c>
      <c r="J118" s="16">
        <f t="shared" ca="1" si="8"/>
        <v>26.696511668874852</v>
      </c>
      <c r="K118" s="16">
        <f t="shared" ca="1" si="8"/>
        <v>36.232864446895128</v>
      </c>
      <c r="L118" s="16">
        <f t="shared" ca="1" si="8"/>
        <v>29.58809234240697</v>
      </c>
    </row>
    <row r="119" spans="2:12" x14ac:dyDescent="0.3">
      <c r="B119" s="16">
        <f t="shared" si="6"/>
        <v>106</v>
      </c>
      <c r="C119" s="16">
        <f t="shared" ca="1" si="8"/>
        <v>34.052907000355134</v>
      </c>
      <c r="D119" s="16">
        <f t="shared" ca="1" si="8"/>
        <v>33.820400840735722</v>
      </c>
      <c r="E119" s="16">
        <f t="shared" ca="1" si="8"/>
        <v>34.051561791346785</v>
      </c>
      <c r="F119" s="16">
        <f t="shared" ca="1" si="8"/>
        <v>40.331228663433322</v>
      </c>
      <c r="G119" s="16">
        <f t="shared" ca="1" si="8"/>
        <v>39.593791806425884</v>
      </c>
      <c r="H119" s="16">
        <f t="shared" ca="1" si="8"/>
        <v>27.804699580014017</v>
      </c>
      <c r="I119" s="16">
        <f t="shared" ca="1" si="8"/>
        <v>33.599732823923624</v>
      </c>
      <c r="J119" s="16">
        <f t="shared" ca="1" si="8"/>
        <v>27.089877381367987</v>
      </c>
      <c r="K119" s="16">
        <f t="shared" ca="1" si="8"/>
        <v>36.325025104152687</v>
      </c>
      <c r="L119" s="16">
        <f t="shared" ca="1" si="8"/>
        <v>28.968074557076129</v>
      </c>
    </row>
    <row r="120" spans="2:12" x14ac:dyDescent="0.3">
      <c r="B120" s="16">
        <f t="shared" si="6"/>
        <v>107</v>
      </c>
      <c r="C120" s="16">
        <f t="shared" ca="1" si="8"/>
        <v>34.450821735523284</v>
      </c>
      <c r="D120" s="16">
        <f t="shared" ca="1" si="8"/>
        <v>33.44035219713588</v>
      </c>
      <c r="E120" s="16">
        <f t="shared" ca="1" si="8"/>
        <v>34.15030125196327</v>
      </c>
      <c r="F120" s="16">
        <f t="shared" ca="1" si="8"/>
        <v>40.098645552140795</v>
      </c>
      <c r="G120" s="16">
        <f t="shared" ca="1" si="8"/>
        <v>39.986321924383709</v>
      </c>
      <c r="H120" s="16">
        <f t="shared" ca="1" si="8"/>
        <v>27.894698007210572</v>
      </c>
      <c r="I120" s="16">
        <f t="shared" ca="1" si="8"/>
        <v>33.79644289241616</v>
      </c>
      <c r="J120" s="16">
        <f t="shared" ca="1" si="8"/>
        <v>27.731861348171908</v>
      </c>
      <c r="K120" s="16">
        <f t="shared" ca="1" si="8"/>
        <v>35.480584694926279</v>
      </c>
      <c r="L120" s="16">
        <f t="shared" ca="1" si="8"/>
        <v>29.218487922417609</v>
      </c>
    </row>
    <row r="121" spans="2:12" x14ac:dyDescent="0.3">
      <c r="B121" s="16">
        <f t="shared" si="6"/>
        <v>108</v>
      </c>
      <c r="C121" s="16">
        <f t="shared" ca="1" si="8"/>
        <v>34.266574416776798</v>
      </c>
      <c r="D121" s="16">
        <f t="shared" ca="1" si="8"/>
        <v>33.308572289289778</v>
      </c>
      <c r="E121" s="16">
        <f t="shared" ca="1" si="8"/>
        <v>34.08057544895366</v>
      </c>
      <c r="F121" s="16">
        <f t="shared" ca="1" si="8"/>
        <v>40.290058543197034</v>
      </c>
      <c r="G121" s="16">
        <f t="shared" ca="1" si="8"/>
        <v>40.018098257994275</v>
      </c>
      <c r="H121" s="16">
        <f t="shared" ca="1" si="8"/>
        <v>27.838737432406173</v>
      </c>
      <c r="I121" s="16">
        <f t="shared" ca="1" si="8"/>
        <v>33.880375117640227</v>
      </c>
      <c r="J121" s="16">
        <f t="shared" ca="1" si="8"/>
        <v>27.486939043624218</v>
      </c>
      <c r="K121" s="16">
        <f t="shared" ca="1" si="8"/>
        <v>34.943028637467478</v>
      </c>
      <c r="L121" s="16">
        <f t="shared" ca="1" si="8"/>
        <v>29.88397966225131</v>
      </c>
    </row>
    <row r="122" spans="2:12" x14ac:dyDescent="0.3">
      <c r="B122" s="16">
        <f t="shared" si="6"/>
        <v>109</v>
      </c>
      <c r="C122" s="16">
        <f t="shared" ca="1" si="8"/>
        <v>34.54572285749191</v>
      </c>
      <c r="D122" s="16">
        <f t="shared" ca="1" si="8"/>
        <v>32.913993086916157</v>
      </c>
      <c r="E122" s="16">
        <f t="shared" ca="1" si="8"/>
        <v>33.632962073252379</v>
      </c>
      <c r="F122" s="16">
        <f t="shared" ca="1" si="8"/>
        <v>40.724951548902041</v>
      </c>
      <c r="G122" s="16">
        <f t="shared" ca="1" si="8"/>
        <v>40.236929202788026</v>
      </c>
      <c r="H122" s="16">
        <f t="shared" ca="1" si="8"/>
        <v>27.642147192065813</v>
      </c>
      <c r="I122" s="16">
        <f t="shared" ca="1" si="8"/>
        <v>34.493247397081149</v>
      </c>
      <c r="J122" s="16">
        <f t="shared" ca="1" si="8"/>
        <v>26.741647080629583</v>
      </c>
      <c r="K122" s="16">
        <f t="shared" ca="1" si="8"/>
        <v>35.156694388548459</v>
      </c>
      <c r="L122" s="16">
        <f t="shared" ca="1" si="8"/>
        <v>29.259096711788946</v>
      </c>
    </row>
    <row r="123" spans="2:12" x14ac:dyDescent="0.3">
      <c r="B123" s="16">
        <f t="shared" si="6"/>
        <v>110</v>
      </c>
      <c r="C123" s="16">
        <f t="shared" ca="1" si="8"/>
        <v>35.915432412576379</v>
      </c>
      <c r="D123" s="16">
        <f t="shared" ca="1" si="8"/>
        <v>32.983781587476408</v>
      </c>
      <c r="E123" s="16">
        <f t="shared" ca="1" si="8"/>
        <v>34.504455111702555</v>
      </c>
      <c r="F123" s="16">
        <f t="shared" ca="1" si="8"/>
        <v>41.116937068584967</v>
      </c>
      <c r="G123" s="16">
        <f t="shared" ca="1" si="8"/>
        <v>40.571866472990244</v>
      </c>
      <c r="H123" s="16">
        <f t="shared" ca="1" si="8"/>
        <v>28.539414637663423</v>
      </c>
      <c r="I123" s="16">
        <f t="shared" ca="1" si="8"/>
        <v>35.382417258168388</v>
      </c>
      <c r="J123" s="16">
        <f t="shared" ca="1" si="8"/>
        <v>25.689269220152941</v>
      </c>
      <c r="K123" s="16">
        <f t="shared" ca="1" si="8"/>
        <v>34.365425185701163</v>
      </c>
      <c r="L123" s="16">
        <f t="shared" ca="1" si="8"/>
        <v>30.217387100020385</v>
      </c>
    </row>
    <row r="124" spans="2:12" x14ac:dyDescent="0.3">
      <c r="B124" s="16">
        <f t="shared" si="6"/>
        <v>111</v>
      </c>
      <c r="C124" s="16">
        <f t="shared" ca="1" si="8"/>
        <v>35.047605608642868</v>
      </c>
      <c r="D124" s="16">
        <f t="shared" ca="1" si="8"/>
        <v>33.205763365705266</v>
      </c>
      <c r="E124" s="16">
        <f t="shared" ca="1" si="8"/>
        <v>35.669960980719367</v>
      </c>
      <c r="F124" s="16">
        <f t="shared" ca="1" si="8"/>
        <v>41.081874019098109</v>
      </c>
      <c r="G124" s="16">
        <f t="shared" ca="1" si="8"/>
        <v>41.2127160106049</v>
      </c>
      <c r="H124" s="16">
        <f t="shared" ca="1" si="8"/>
        <v>27.454357935782859</v>
      </c>
      <c r="I124" s="16">
        <f t="shared" ca="1" si="8"/>
        <v>36.10983439503476</v>
      </c>
      <c r="J124" s="16">
        <f t="shared" ca="1" si="8"/>
        <v>25.105863176923599</v>
      </c>
      <c r="K124" s="16">
        <f t="shared" ca="1" si="8"/>
        <v>35.016098170649506</v>
      </c>
      <c r="L124" s="16">
        <f t="shared" ca="1" si="8"/>
        <v>29.305640526643433</v>
      </c>
    </row>
    <row r="125" spans="2:12" x14ac:dyDescent="0.3">
      <c r="B125" s="16">
        <f t="shared" si="6"/>
        <v>112</v>
      </c>
      <c r="C125" s="16">
        <f t="shared" ca="1" si="8"/>
        <v>35.988141908606359</v>
      </c>
      <c r="D125" s="16">
        <f t="shared" ca="1" si="8"/>
        <v>32.916432013055342</v>
      </c>
      <c r="E125" s="16">
        <f t="shared" ca="1" si="8"/>
        <v>35.400195214402842</v>
      </c>
      <c r="F125" s="16">
        <f t="shared" ca="1" si="8"/>
        <v>41.314277139071997</v>
      </c>
      <c r="G125" s="16">
        <f t="shared" ca="1" si="8"/>
        <v>40.758351048503862</v>
      </c>
      <c r="H125" s="16">
        <f t="shared" ca="1" si="8"/>
        <v>28.243387716808712</v>
      </c>
      <c r="I125" s="16">
        <f t="shared" ca="1" si="8"/>
        <v>35.585669071546903</v>
      </c>
      <c r="J125" s="16">
        <f t="shared" ca="1" si="8"/>
        <v>25.321264107906359</v>
      </c>
      <c r="K125" s="16">
        <f t="shared" ca="1" si="8"/>
        <v>34.835168287123224</v>
      </c>
      <c r="L125" s="16">
        <f t="shared" ca="1" si="8"/>
        <v>30.254507238546466</v>
      </c>
    </row>
    <row r="126" spans="2:12" x14ac:dyDescent="0.3">
      <c r="B126" s="16">
        <f t="shared" si="6"/>
        <v>113</v>
      </c>
      <c r="C126" s="16">
        <f t="shared" ref="C126:L141" ca="1" si="9">C125*EXP(($E$5-0.5*$E$6*$E$6)*$E$7+$E$6*SQRT($E$7)*_xlfn.NORM.S.INV(RAND()))</f>
        <v>36.381320552463713</v>
      </c>
      <c r="D126" s="16">
        <f t="shared" ca="1" si="9"/>
        <v>33.144030171903339</v>
      </c>
      <c r="E126" s="16">
        <f t="shared" ca="1" si="9"/>
        <v>34.765982739873579</v>
      </c>
      <c r="F126" s="16">
        <f t="shared" ca="1" si="9"/>
        <v>41.557902631458127</v>
      </c>
      <c r="G126" s="16">
        <f t="shared" ca="1" si="9"/>
        <v>41.266159689020469</v>
      </c>
      <c r="H126" s="16">
        <f t="shared" ca="1" si="9"/>
        <v>28.117546859682555</v>
      </c>
      <c r="I126" s="16">
        <f t="shared" ca="1" si="9"/>
        <v>34.867186618461503</v>
      </c>
      <c r="J126" s="16">
        <f t="shared" ca="1" si="9"/>
        <v>25.038237909217234</v>
      </c>
      <c r="K126" s="16">
        <f t="shared" ca="1" si="9"/>
        <v>34.693685294028562</v>
      </c>
      <c r="L126" s="16">
        <f t="shared" ca="1" si="9"/>
        <v>29.500689428249963</v>
      </c>
    </row>
    <row r="127" spans="2:12" x14ac:dyDescent="0.3">
      <c r="B127" s="16">
        <f t="shared" si="6"/>
        <v>114</v>
      </c>
      <c r="C127" s="16">
        <f t="shared" ca="1" si="9"/>
        <v>35.879707397153332</v>
      </c>
      <c r="D127" s="16">
        <f t="shared" ca="1" si="9"/>
        <v>34.418819226248672</v>
      </c>
      <c r="E127" s="16">
        <f t="shared" ca="1" si="9"/>
        <v>34.312996209741613</v>
      </c>
      <c r="F127" s="16">
        <f t="shared" ca="1" si="9"/>
        <v>40.47482825689724</v>
      </c>
      <c r="G127" s="16">
        <f t="shared" ca="1" si="9"/>
        <v>41.656573817371964</v>
      </c>
      <c r="H127" s="16">
        <f t="shared" ca="1" si="9"/>
        <v>28.308480920688549</v>
      </c>
      <c r="I127" s="16">
        <f t="shared" ca="1" si="9"/>
        <v>35.096578410003758</v>
      </c>
      <c r="J127" s="16">
        <f t="shared" ca="1" si="9"/>
        <v>24.575126337986081</v>
      </c>
      <c r="K127" s="16">
        <f t="shared" ca="1" si="9"/>
        <v>34.900039691292164</v>
      </c>
      <c r="L127" s="16">
        <f t="shared" ca="1" si="9"/>
        <v>29.038857623155124</v>
      </c>
    </row>
    <row r="128" spans="2:12" x14ac:dyDescent="0.3">
      <c r="B128" s="16">
        <f t="shared" si="6"/>
        <v>115</v>
      </c>
      <c r="C128" s="16">
        <f t="shared" ca="1" si="9"/>
        <v>36.853585216415048</v>
      </c>
      <c r="D128" s="16">
        <f t="shared" ca="1" si="9"/>
        <v>34.412908359050483</v>
      </c>
      <c r="E128" s="16">
        <f t="shared" ca="1" si="9"/>
        <v>34.656420234041015</v>
      </c>
      <c r="F128" s="16">
        <f t="shared" ca="1" si="9"/>
        <v>40.792028179068303</v>
      </c>
      <c r="G128" s="16">
        <f t="shared" ca="1" si="9"/>
        <v>42.507151580567594</v>
      </c>
      <c r="H128" s="16">
        <f t="shared" ca="1" si="9"/>
        <v>27.904108424897764</v>
      </c>
      <c r="I128" s="16">
        <f t="shared" ca="1" si="9"/>
        <v>34.540470511991842</v>
      </c>
      <c r="J128" s="16">
        <f t="shared" ca="1" si="9"/>
        <v>24.411488759570805</v>
      </c>
      <c r="K128" s="16">
        <f t="shared" ca="1" si="9"/>
        <v>36.078765412750521</v>
      </c>
      <c r="L128" s="16">
        <f t="shared" ca="1" si="9"/>
        <v>28.342627703326851</v>
      </c>
    </row>
    <row r="129" spans="2:12" x14ac:dyDescent="0.3">
      <c r="B129" s="16">
        <f t="shared" si="6"/>
        <v>116</v>
      </c>
      <c r="C129" s="16">
        <f t="shared" ca="1" si="9"/>
        <v>36.28635085880407</v>
      </c>
      <c r="D129" s="16">
        <f t="shared" ca="1" si="9"/>
        <v>33.823784153064551</v>
      </c>
      <c r="E129" s="16">
        <f t="shared" ca="1" si="9"/>
        <v>34.316864127468392</v>
      </c>
      <c r="F129" s="16">
        <f t="shared" ca="1" si="9"/>
        <v>40.228208273707303</v>
      </c>
      <c r="G129" s="16">
        <f t="shared" ca="1" si="9"/>
        <v>42.438282750368813</v>
      </c>
      <c r="H129" s="16">
        <f t="shared" ca="1" si="9"/>
        <v>27.927810518341975</v>
      </c>
      <c r="I129" s="16">
        <f t="shared" ca="1" si="9"/>
        <v>35.293955565079635</v>
      </c>
      <c r="J129" s="16">
        <f t="shared" ca="1" si="9"/>
        <v>25.029646740629282</v>
      </c>
      <c r="K129" s="16">
        <f t="shared" ca="1" si="9"/>
        <v>36.797687156781627</v>
      </c>
      <c r="L129" s="16">
        <f t="shared" ca="1" si="9"/>
        <v>29.049249995693131</v>
      </c>
    </row>
    <row r="130" spans="2:12" x14ac:dyDescent="0.3">
      <c r="B130" s="16">
        <f t="shared" si="6"/>
        <v>117</v>
      </c>
      <c r="C130" s="16">
        <f t="shared" ca="1" si="9"/>
        <v>35.098918922964046</v>
      </c>
      <c r="D130" s="16">
        <f t="shared" ca="1" si="9"/>
        <v>34.01273649712347</v>
      </c>
      <c r="E130" s="16">
        <f t="shared" ca="1" si="9"/>
        <v>34.853691909122425</v>
      </c>
      <c r="F130" s="16">
        <f t="shared" ca="1" si="9"/>
        <v>40.459443886122038</v>
      </c>
      <c r="G130" s="16">
        <f t="shared" ca="1" si="9"/>
        <v>42.016928298482924</v>
      </c>
      <c r="H130" s="16">
        <f t="shared" ca="1" si="9"/>
        <v>28.064149214600917</v>
      </c>
      <c r="I130" s="16">
        <f t="shared" ca="1" si="9"/>
        <v>34.494256720323634</v>
      </c>
      <c r="J130" s="16">
        <f t="shared" ca="1" si="9"/>
        <v>25.306624292614796</v>
      </c>
      <c r="K130" s="16">
        <f t="shared" ca="1" si="9"/>
        <v>36.387875520752011</v>
      </c>
      <c r="L130" s="16">
        <f t="shared" ca="1" si="9"/>
        <v>29.248021877592226</v>
      </c>
    </row>
    <row r="131" spans="2:12" x14ac:dyDescent="0.3">
      <c r="B131" s="16">
        <f t="shared" si="6"/>
        <v>118</v>
      </c>
      <c r="C131" s="16">
        <f t="shared" ca="1" si="9"/>
        <v>35.338279766460516</v>
      </c>
      <c r="D131" s="16">
        <f t="shared" ca="1" si="9"/>
        <v>33.829477327288856</v>
      </c>
      <c r="E131" s="16">
        <f t="shared" ca="1" si="9"/>
        <v>34.345446598333325</v>
      </c>
      <c r="F131" s="16">
        <f t="shared" ca="1" si="9"/>
        <v>41.694619633577197</v>
      </c>
      <c r="G131" s="16">
        <f t="shared" ca="1" si="9"/>
        <v>41.861168256293645</v>
      </c>
      <c r="H131" s="16">
        <f t="shared" ca="1" si="9"/>
        <v>27.479265865994282</v>
      </c>
      <c r="I131" s="16">
        <f t="shared" ca="1" si="9"/>
        <v>34.629127563376407</v>
      </c>
      <c r="J131" s="16">
        <f t="shared" ca="1" si="9"/>
        <v>24.794646113352353</v>
      </c>
      <c r="K131" s="16">
        <f t="shared" ca="1" si="9"/>
        <v>35.557420201695663</v>
      </c>
      <c r="L131" s="16">
        <f t="shared" ca="1" si="9"/>
        <v>29.758906858001929</v>
      </c>
    </row>
    <row r="132" spans="2:12" x14ac:dyDescent="0.3">
      <c r="B132" s="16">
        <f t="shared" si="6"/>
        <v>119</v>
      </c>
      <c r="C132" s="16">
        <f t="shared" ca="1" si="9"/>
        <v>35.322579368759072</v>
      </c>
      <c r="D132" s="16">
        <f t="shared" ca="1" si="9"/>
        <v>33.235665230702722</v>
      </c>
      <c r="E132" s="16">
        <f t="shared" ca="1" si="9"/>
        <v>34.757013772522811</v>
      </c>
      <c r="F132" s="16">
        <f t="shared" ca="1" si="9"/>
        <v>40.800851472115504</v>
      </c>
      <c r="G132" s="16">
        <f t="shared" ca="1" si="9"/>
        <v>42.320487518108266</v>
      </c>
      <c r="H132" s="16">
        <f t="shared" ca="1" si="9"/>
        <v>27.554608137327946</v>
      </c>
      <c r="I132" s="16">
        <f t="shared" ca="1" si="9"/>
        <v>35.018752996029825</v>
      </c>
      <c r="J132" s="16">
        <f t="shared" ca="1" si="9"/>
        <v>24.925472259921243</v>
      </c>
      <c r="K132" s="16">
        <f t="shared" ca="1" si="9"/>
        <v>35.598110207383669</v>
      </c>
      <c r="L132" s="16">
        <f t="shared" ca="1" si="9"/>
        <v>30.297373384748475</v>
      </c>
    </row>
    <row r="133" spans="2:12" x14ac:dyDescent="0.3">
      <c r="B133" s="16">
        <f t="shared" si="6"/>
        <v>120</v>
      </c>
      <c r="C133" s="16">
        <f t="shared" ca="1" si="9"/>
        <v>34.781469756241059</v>
      </c>
      <c r="D133" s="16">
        <f t="shared" ca="1" si="9"/>
        <v>33.927600418340667</v>
      </c>
      <c r="E133" s="16">
        <f t="shared" ca="1" si="9"/>
        <v>34.284567670085153</v>
      </c>
      <c r="F133" s="16">
        <f t="shared" ca="1" si="9"/>
        <v>39.723208556054672</v>
      </c>
      <c r="G133" s="16">
        <f t="shared" ca="1" si="9"/>
        <v>40.108022810600858</v>
      </c>
      <c r="H133" s="16">
        <f t="shared" ca="1" si="9"/>
        <v>28.171455472181279</v>
      </c>
      <c r="I133" s="16">
        <f t="shared" ca="1" si="9"/>
        <v>34.988184714315494</v>
      </c>
      <c r="J133" s="16">
        <f t="shared" ca="1" si="9"/>
        <v>24.565667872455979</v>
      </c>
      <c r="K133" s="16">
        <f t="shared" ca="1" si="9"/>
        <v>34.670393426333625</v>
      </c>
      <c r="L133" s="16">
        <f t="shared" ca="1" si="9"/>
        <v>30.116050245437815</v>
      </c>
    </row>
    <row r="134" spans="2:12" x14ac:dyDescent="0.3">
      <c r="B134" s="16">
        <f t="shared" si="6"/>
        <v>121</v>
      </c>
      <c r="C134" s="16">
        <f t="shared" ca="1" si="9"/>
        <v>35.477141835100291</v>
      </c>
      <c r="D134" s="16">
        <f t="shared" ca="1" si="9"/>
        <v>34.410737582856626</v>
      </c>
      <c r="E134" s="16">
        <f t="shared" ca="1" si="9"/>
        <v>33.473142258174683</v>
      </c>
      <c r="F134" s="16">
        <f t="shared" ca="1" si="9"/>
        <v>40.095060291059873</v>
      </c>
      <c r="G134" s="16">
        <f t="shared" ca="1" si="9"/>
        <v>39.386809287766916</v>
      </c>
      <c r="H134" s="16">
        <f t="shared" ca="1" si="9"/>
        <v>28.025335411262162</v>
      </c>
      <c r="I134" s="16">
        <f t="shared" ca="1" si="9"/>
        <v>34.71319882790737</v>
      </c>
      <c r="J134" s="16">
        <f t="shared" ca="1" si="9"/>
        <v>24.274928972948345</v>
      </c>
      <c r="K134" s="16">
        <f t="shared" ca="1" si="9"/>
        <v>34.470734955106415</v>
      </c>
      <c r="L134" s="16">
        <f t="shared" ca="1" si="9"/>
        <v>30.163036051567254</v>
      </c>
    </row>
    <row r="135" spans="2:12" x14ac:dyDescent="0.3">
      <c r="B135" s="16">
        <f t="shared" si="6"/>
        <v>122</v>
      </c>
      <c r="C135" s="16">
        <f t="shared" ca="1" si="9"/>
        <v>35.261474696448332</v>
      </c>
      <c r="D135" s="16">
        <f t="shared" ca="1" si="9"/>
        <v>35.109380945751461</v>
      </c>
      <c r="E135" s="16">
        <f t="shared" ca="1" si="9"/>
        <v>33.184137154309198</v>
      </c>
      <c r="F135" s="16">
        <f t="shared" ca="1" si="9"/>
        <v>40.324712277269342</v>
      </c>
      <c r="G135" s="16">
        <f t="shared" ca="1" si="9"/>
        <v>39.216909720627854</v>
      </c>
      <c r="H135" s="16">
        <f t="shared" ca="1" si="9"/>
        <v>29.266876780479794</v>
      </c>
      <c r="I135" s="16">
        <f t="shared" ca="1" si="9"/>
        <v>33.970691406256364</v>
      </c>
      <c r="J135" s="16">
        <f t="shared" ca="1" si="9"/>
        <v>23.802852326364594</v>
      </c>
      <c r="K135" s="16">
        <f t="shared" ca="1" si="9"/>
        <v>33.830792943022665</v>
      </c>
      <c r="L135" s="16">
        <f t="shared" ca="1" si="9"/>
        <v>29.759094678569934</v>
      </c>
    </row>
    <row r="136" spans="2:12" x14ac:dyDescent="0.3">
      <c r="B136" s="16">
        <f t="shared" si="6"/>
        <v>123</v>
      </c>
      <c r="C136" s="16">
        <f t="shared" ca="1" si="9"/>
        <v>36.176189284961474</v>
      </c>
      <c r="D136" s="16">
        <f t="shared" ca="1" si="9"/>
        <v>35.400044749438024</v>
      </c>
      <c r="E136" s="16">
        <f t="shared" ca="1" si="9"/>
        <v>33.758387260379429</v>
      </c>
      <c r="F136" s="16">
        <f t="shared" ca="1" si="9"/>
        <v>39.017270981155946</v>
      </c>
      <c r="G136" s="16">
        <f t="shared" ca="1" si="9"/>
        <v>38.588928020353151</v>
      </c>
      <c r="H136" s="16">
        <f t="shared" ca="1" si="9"/>
        <v>29.062529940949851</v>
      </c>
      <c r="I136" s="16">
        <f t="shared" ca="1" si="9"/>
        <v>33.940526125297055</v>
      </c>
      <c r="J136" s="16">
        <f t="shared" ca="1" si="9"/>
        <v>24.152903725820611</v>
      </c>
      <c r="K136" s="16">
        <f t="shared" ca="1" si="9"/>
        <v>33.971816040221029</v>
      </c>
      <c r="L136" s="16">
        <f t="shared" ca="1" si="9"/>
        <v>30.778053108728326</v>
      </c>
    </row>
    <row r="137" spans="2:12" x14ac:dyDescent="0.3">
      <c r="B137" s="16">
        <f t="shared" si="6"/>
        <v>124</v>
      </c>
      <c r="C137" s="16">
        <f t="shared" ca="1" si="9"/>
        <v>35.890915123106886</v>
      </c>
      <c r="D137" s="16">
        <f t="shared" ca="1" si="9"/>
        <v>36.994488505659525</v>
      </c>
      <c r="E137" s="16">
        <f t="shared" ca="1" si="9"/>
        <v>33.303620507956985</v>
      </c>
      <c r="F137" s="16">
        <f t="shared" ca="1" si="9"/>
        <v>39.070048914281188</v>
      </c>
      <c r="G137" s="16">
        <f t="shared" ca="1" si="9"/>
        <v>37.179197364959705</v>
      </c>
      <c r="H137" s="16">
        <f t="shared" ca="1" si="9"/>
        <v>29.390649662841273</v>
      </c>
      <c r="I137" s="16">
        <f t="shared" ca="1" si="9"/>
        <v>34.569879149262611</v>
      </c>
      <c r="J137" s="16">
        <f t="shared" ca="1" si="9"/>
        <v>25.036084255564962</v>
      </c>
      <c r="K137" s="16">
        <f t="shared" ca="1" si="9"/>
        <v>34.389615116454806</v>
      </c>
      <c r="L137" s="16">
        <f t="shared" ca="1" si="9"/>
        <v>30.341153473233227</v>
      </c>
    </row>
    <row r="138" spans="2:12" x14ac:dyDescent="0.3">
      <c r="B138" s="16">
        <f t="shared" si="6"/>
        <v>125</v>
      </c>
      <c r="C138" s="16">
        <f t="shared" ca="1" si="9"/>
        <v>34.805187091971376</v>
      </c>
      <c r="D138" s="16">
        <f t="shared" ca="1" si="9"/>
        <v>37.010770118609706</v>
      </c>
      <c r="E138" s="16">
        <f t="shared" ca="1" si="9"/>
        <v>32.770664883999089</v>
      </c>
      <c r="F138" s="16">
        <f t="shared" ca="1" si="9"/>
        <v>39.203029240316319</v>
      </c>
      <c r="G138" s="16">
        <f t="shared" ca="1" si="9"/>
        <v>37.457386973662778</v>
      </c>
      <c r="H138" s="16">
        <f t="shared" ca="1" si="9"/>
        <v>29.181260723858937</v>
      </c>
      <c r="I138" s="16">
        <f t="shared" ca="1" si="9"/>
        <v>33.805972008260134</v>
      </c>
      <c r="J138" s="16">
        <f t="shared" ca="1" si="9"/>
        <v>25.227741142678351</v>
      </c>
      <c r="K138" s="16">
        <f t="shared" ca="1" si="9"/>
        <v>34.322219322359835</v>
      </c>
      <c r="L138" s="16">
        <f t="shared" ca="1" si="9"/>
        <v>31.981455790093044</v>
      </c>
    </row>
    <row r="139" spans="2:12" x14ac:dyDescent="0.3">
      <c r="B139" s="16">
        <f t="shared" si="6"/>
        <v>126</v>
      </c>
      <c r="C139" s="16">
        <f t="shared" ca="1" si="9"/>
        <v>34.255691692408732</v>
      </c>
      <c r="D139" s="16">
        <f t="shared" ca="1" si="9"/>
        <v>37.296129823057363</v>
      </c>
      <c r="E139" s="16">
        <f t="shared" ca="1" si="9"/>
        <v>32.12614182560727</v>
      </c>
      <c r="F139" s="16">
        <f t="shared" ca="1" si="9"/>
        <v>39.756764241765737</v>
      </c>
      <c r="G139" s="16">
        <f t="shared" ca="1" si="9"/>
        <v>37.38548231743831</v>
      </c>
      <c r="H139" s="16">
        <f t="shared" ca="1" si="9"/>
        <v>29.559638101440026</v>
      </c>
      <c r="I139" s="16">
        <f t="shared" ca="1" si="9"/>
        <v>33.411676556803002</v>
      </c>
      <c r="J139" s="16">
        <f t="shared" ca="1" si="9"/>
        <v>25.26293987807075</v>
      </c>
      <c r="K139" s="16">
        <f t="shared" ca="1" si="9"/>
        <v>34.617386315766097</v>
      </c>
      <c r="L139" s="16">
        <f t="shared" ca="1" si="9"/>
        <v>31.269264941012036</v>
      </c>
    </row>
    <row r="140" spans="2:12" x14ac:dyDescent="0.3">
      <c r="B140" s="16">
        <f t="shared" si="6"/>
        <v>127</v>
      </c>
      <c r="C140" s="16">
        <f t="shared" ca="1" si="9"/>
        <v>34.407045733540009</v>
      </c>
      <c r="D140" s="16">
        <f t="shared" ca="1" si="9"/>
        <v>37.467288930928781</v>
      </c>
      <c r="E140" s="16">
        <f t="shared" ca="1" si="9"/>
        <v>31.177408058857264</v>
      </c>
      <c r="F140" s="16">
        <f t="shared" ca="1" si="9"/>
        <v>40.496491390270755</v>
      </c>
      <c r="G140" s="16">
        <f t="shared" ca="1" si="9"/>
        <v>37.482740889529268</v>
      </c>
      <c r="H140" s="16">
        <f t="shared" ca="1" si="9"/>
        <v>28.75029328594918</v>
      </c>
      <c r="I140" s="16">
        <f t="shared" ca="1" si="9"/>
        <v>32.748380010954399</v>
      </c>
      <c r="J140" s="16">
        <f t="shared" ca="1" si="9"/>
        <v>25.318531322594403</v>
      </c>
      <c r="K140" s="16">
        <f t="shared" ca="1" si="9"/>
        <v>35.072234837234845</v>
      </c>
      <c r="L140" s="16">
        <f t="shared" ca="1" si="9"/>
        <v>30.301458249129013</v>
      </c>
    </row>
    <row r="141" spans="2:12" x14ac:dyDescent="0.3">
      <c r="B141" s="16">
        <f t="shared" si="6"/>
        <v>128</v>
      </c>
      <c r="C141" s="16">
        <f t="shared" ca="1" si="9"/>
        <v>34.067233906469504</v>
      </c>
      <c r="D141" s="16">
        <f t="shared" ca="1" si="9"/>
        <v>36.717364416168323</v>
      </c>
      <c r="E141" s="16">
        <f t="shared" ca="1" si="9"/>
        <v>31.868598512891641</v>
      </c>
      <c r="F141" s="16">
        <f t="shared" ca="1" si="9"/>
        <v>41.829643025182357</v>
      </c>
      <c r="G141" s="16">
        <f t="shared" ca="1" si="9"/>
        <v>37.189324555877974</v>
      </c>
      <c r="H141" s="16">
        <f t="shared" ca="1" si="9"/>
        <v>27.977102174100025</v>
      </c>
      <c r="I141" s="16">
        <f t="shared" ca="1" si="9"/>
        <v>32.074838888583756</v>
      </c>
      <c r="J141" s="16">
        <f t="shared" ca="1" si="9"/>
        <v>25.471875638820343</v>
      </c>
      <c r="K141" s="16">
        <f t="shared" ca="1" si="9"/>
        <v>34.416322971977884</v>
      </c>
      <c r="L141" s="16">
        <f t="shared" ca="1" si="9"/>
        <v>30.439405871965601</v>
      </c>
    </row>
    <row r="142" spans="2:12" x14ac:dyDescent="0.3">
      <c r="B142" s="16">
        <f t="shared" si="6"/>
        <v>129</v>
      </c>
      <c r="C142" s="16">
        <f t="shared" ref="C142:L157" ca="1" si="10">C141*EXP(($E$5-0.5*$E$6*$E$6)*$E$7+$E$6*SQRT($E$7)*_xlfn.NORM.S.INV(RAND()))</f>
        <v>35.129132986268701</v>
      </c>
      <c r="D142" s="16">
        <f t="shared" ca="1" si="10"/>
        <v>35.002603131736635</v>
      </c>
      <c r="E142" s="16">
        <f t="shared" ca="1" si="10"/>
        <v>32.362089788643829</v>
      </c>
      <c r="F142" s="16">
        <f t="shared" ca="1" si="10"/>
        <v>42.59552522320881</v>
      </c>
      <c r="G142" s="16">
        <f t="shared" ca="1" si="10"/>
        <v>36.87127094960212</v>
      </c>
      <c r="H142" s="16">
        <f t="shared" ca="1" si="10"/>
        <v>27.867950533903805</v>
      </c>
      <c r="I142" s="16">
        <f t="shared" ca="1" si="10"/>
        <v>32.4071414195054</v>
      </c>
      <c r="J142" s="16">
        <f t="shared" ca="1" si="10"/>
        <v>25.325833480541714</v>
      </c>
      <c r="K142" s="16">
        <f t="shared" ca="1" si="10"/>
        <v>33.774796988770106</v>
      </c>
      <c r="L142" s="16">
        <f t="shared" ca="1" si="10"/>
        <v>30.633468777692588</v>
      </c>
    </row>
    <row r="143" spans="2:12" x14ac:dyDescent="0.3">
      <c r="B143" s="16">
        <f t="shared" ref="B143:B206" si="11">B142+1</f>
        <v>130</v>
      </c>
      <c r="C143" s="16">
        <f t="shared" ca="1" si="10"/>
        <v>35.086968185698076</v>
      </c>
      <c r="D143" s="16">
        <f t="shared" ca="1" si="10"/>
        <v>35.11551964446484</v>
      </c>
      <c r="E143" s="16">
        <f t="shared" ca="1" si="10"/>
        <v>31.735276883208748</v>
      </c>
      <c r="F143" s="16">
        <f t="shared" ca="1" si="10"/>
        <v>42.210093356422767</v>
      </c>
      <c r="G143" s="16">
        <f t="shared" ca="1" si="10"/>
        <v>36.423664788596561</v>
      </c>
      <c r="H143" s="16">
        <f t="shared" ca="1" si="10"/>
        <v>28.359926164605067</v>
      </c>
      <c r="I143" s="16">
        <f t="shared" ca="1" si="10"/>
        <v>32.363029046934798</v>
      </c>
      <c r="J143" s="16">
        <f t="shared" ca="1" si="10"/>
        <v>26.374469746355317</v>
      </c>
      <c r="K143" s="16">
        <f t="shared" ca="1" si="10"/>
        <v>33.243270986754617</v>
      </c>
      <c r="L143" s="16">
        <f t="shared" ca="1" si="10"/>
        <v>31.121175778517667</v>
      </c>
    </row>
    <row r="144" spans="2:12" x14ac:dyDescent="0.3">
      <c r="B144" s="16">
        <f t="shared" si="11"/>
        <v>131</v>
      </c>
      <c r="C144" s="16">
        <f t="shared" ca="1" si="10"/>
        <v>34.795173369895871</v>
      </c>
      <c r="D144" s="16">
        <f t="shared" ca="1" si="10"/>
        <v>34.942394945336204</v>
      </c>
      <c r="E144" s="16">
        <f t="shared" ca="1" si="10"/>
        <v>32.65967821622273</v>
      </c>
      <c r="F144" s="16">
        <f t="shared" ca="1" si="10"/>
        <v>44.048509903130082</v>
      </c>
      <c r="G144" s="16">
        <f t="shared" ca="1" si="10"/>
        <v>36.804060160405491</v>
      </c>
      <c r="H144" s="16">
        <f t="shared" ca="1" si="10"/>
        <v>27.90183704876792</v>
      </c>
      <c r="I144" s="16">
        <f t="shared" ca="1" si="10"/>
        <v>31.532168898378721</v>
      </c>
      <c r="J144" s="16">
        <f t="shared" ca="1" si="10"/>
        <v>26.662720650888993</v>
      </c>
      <c r="K144" s="16">
        <f t="shared" ca="1" si="10"/>
        <v>33.606868694406778</v>
      </c>
      <c r="L144" s="16">
        <f t="shared" ca="1" si="10"/>
        <v>30.509490790173611</v>
      </c>
    </row>
    <row r="145" spans="2:12" x14ac:dyDescent="0.3">
      <c r="B145" s="16">
        <f t="shared" si="11"/>
        <v>132</v>
      </c>
      <c r="C145" s="16">
        <f t="shared" ca="1" si="10"/>
        <v>35.860037778547401</v>
      </c>
      <c r="D145" s="16">
        <f t="shared" ca="1" si="10"/>
        <v>35.380048771558315</v>
      </c>
      <c r="E145" s="16">
        <f t="shared" ca="1" si="10"/>
        <v>32.904140451021384</v>
      </c>
      <c r="F145" s="16">
        <f t="shared" ca="1" si="10"/>
        <v>44.6298273717874</v>
      </c>
      <c r="G145" s="16">
        <f t="shared" ca="1" si="10"/>
        <v>37.377135904606853</v>
      </c>
      <c r="H145" s="16">
        <f t="shared" ca="1" si="10"/>
        <v>27.750345759682823</v>
      </c>
      <c r="I145" s="16">
        <f t="shared" ca="1" si="10"/>
        <v>30.511225193225453</v>
      </c>
      <c r="J145" s="16">
        <f t="shared" ca="1" si="10"/>
        <v>26.061562552576028</v>
      </c>
      <c r="K145" s="16">
        <f t="shared" ca="1" si="10"/>
        <v>34.629394541498051</v>
      </c>
      <c r="L145" s="16">
        <f t="shared" ca="1" si="10"/>
        <v>28.568186732887384</v>
      </c>
    </row>
    <row r="146" spans="2:12" x14ac:dyDescent="0.3">
      <c r="B146" s="16">
        <f t="shared" si="11"/>
        <v>133</v>
      </c>
      <c r="C146" s="16">
        <f t="shared" ca="1" si="10"/>
        <v>36.561262310801808</v>
      </c>
      <c r="D146" s="16">
        <f t="shared" ca="1" si="10"/>
        <v>35.798625391271862</v>
      </c>
      <c r="E146" s="16">
        <f t="shared" ca="1" si="10"/>
        <v>34.004234253610854</v>
      </c>
      <c r="F146" s="16">
        <f t="shared" ca="1" si="10"/>
        <v>46.468990064992369</v>
      </c>
      <c r="G146" s="16">
        <f t="shared" ca="1" si="10"/>
        <v>36.783813323996633</v>
      </c>
      <c r="H146" s="16">
        <f t="shared" ca="1" si="10"/>
        <v>27.667338882207758</v>
      </c>
      <c r="I146" s="16">
        <f t="shared" ca="1" si="10"/>
        <v>30.343597376947478</v>
      </c>
      <c r="J146" s="16">
        <f t="shared" ca="1" si="10"/>
        <v>27.243857546857495</v>
      </c>
      <c r="K146" s="16">
        <f t="shared" ca="1" si="10"/>
        <v>34.167393501135187</v>
      </c>
      <c r="L146" s="16">
        <f t="shared" ca="1" si="10"/>
        <v>28.593209313576949</v>
      </c>
    </row>
    <row r="147" spans="2:12" x14ac:dyDescent="0.3">
      <c r="B147" s="16">
        <f t="shared" si="11"/>
        <v>134</v>
      </c>
      <c r="C147" s="16">
        <f t="shared" ca="1" si="10"/>
        <v>36.23765054528436</v>
      </c>
      <c r="D147" s="16">
        <f t="shared" ca="1" si="10"/>
        <v>36.329731540488481</v>
      </c>
      <c r="E147" s="16">
        <f t="shared" ca="1" si="10"/>
        <v>34.224358918408086</v>
      </c>
      <c r="F147" s="16">
        <f t="shared" ca="1" si="10"/>
        <v>46.793414676529714</v>
      </c>
      <c r="G147" s="16">
        <f t="shared" ca="1" si="10"/>
        <v>37.117610098121446</v>
      </c>
      <c r="H147" s="16">
        <f t="shared" ca="1" si="10"/>
        <v>27.372244993299915</v>
      </c>
      <c r="I147" s="16">
        <f t="shared" ca="1" si="10"/>
        <v>29.337612911146348</v>
      </c>
      <c r="J147" s="16">
        <f t="shared" ca="1" si="10"/>
        <v>26.853119432637349</v>
      </c>
      <c r="K147" s="16">
        <f t="shared" ca="1" si="10"/>
        <v>34.505985393356596</v>
      </c>
      <c r="L147" s="16">
        <f t="shared" ca="1" si="10"/>
        <v>28.31822181229855</v>
      </c>
    </row>
    <row r="148" spans="2:12" x14ac:dyDescent="0.3">
      <c r="B148" s="16">
        <f t="shared" si="11"/>
        <v>135</v>
      </c>
      <c r="C148" s="16">
        <f t="shared" ca="1" si="10"/>
        <v>36.797620386612188</v>
      </c>
      <c r="D148" s="16">
        <f t="shared" ca="1" si="10"/>
        <v>36.169225939176705</v>
      </c>
      <c r="E148" s="16">
        <f t="shared" ca="1" si="10"/>
        <v>35.373079126740095</v>
      </c>
      <c r="F148" s="16">
        <f t="shared" ca="1" si="10"/>
        <v>46.269953108798525</v>
      </c>
      <c r="G148" s="16">
        <f t="shared" ca="1" si="10"/>
        <v>37.22413732646536</v>
      </c>
      <c r="H148" s="16">
        <f t="shared" ca="1" si="10"/>
        <v>28.101034338008155</v>
      </c>
      <c r="I148" s="16">
        <f t="shared" ca="1" si="10"/>
        <v>29.038955472367419</v>
      </c>
      <c r="J148" s="16">
        <f t="shared" ca="1" si="10"/>
        <v>26.52737020299795</v>
      </c>
      <c r="K148" s="16">
        <f t="shared" ca="1" si="10"/>
        <v>33.88104185992011</v>
      </c>
      <c r="L148" s="16">
        <f t="shared" ca="1" si="10"/>
        <v>28.284882686311306</v>
      </c>
    </row>
    <row r="149" spans="2:12" x14ac:dyDescent="0.3">
      <c r="B149" s="16">
        <f t="shared" si="11"/>
        <v>136</v>
      </c>
      <c r="C149" s="16">
        <f t="shared" ca="1" si="10"/>
        <v>37.186916565168495</v>
      </c>
      <c r="D149" s="16">
        <f t="shared" ca="1" si="10"/>
        <v>35.60575560971165</v>
      </c>
      <c r="E149" s="16">
        <f t="shared" ca="1" si="10"/>
        <v>34.887342090299121</v>
      </c>
      <c r="F149" s="16">
        <f t="shared" ca="1" si="10"/>
        <v>46.62642222999861</v>
      </c>
      <c r="G149" s="16">
        <f t="shared" ca="1" si="10"/>
        <v>36.564288594540983</v>
      </c>
      <c r="H149" s="16">
        <f t="shared" ca="1" si="10"/>
        <v>28.839483350250802</v>
      </c>
      <c r="I149" s="16">
        <f t="shared" ca="1" si="10"/>
        <v>29.005824434062554</v>
      </c>
      <c r="J149" s="16">
        <f t="shared" ca="1" si="10"/>
        <v>26.36329044837812</v>
      </c>
      <c r="K149" s="16">
        <f t="shared" ca="1" si="10"/>
        <v>35.342830497845512</v>
      </c>
      <c r="L149" s="16">
        <f t="shared" ca="1" si="10"/>
        <v>28.367098847585904</v>
      </c>
    </row>
    <row r="150" spans="2:12" x14ac:dyDescent="0.3">
      <c r="B150" s="16">
        <f t="shared" si="11"/>
        <v>137</v>
      </c>
      <c r="C150" s="16">
        <f t="shared" ca="1" si="10"/>
        <v>36.680498253506542</v>
      </c>
      <c r="D150" s="16">
        <f t="shared" ca="1" si="10"/>
        <v>33.973510810658411</v>
      </c>
      <c r="E150" s="16">
        <f t="shared" ca="1" si="10"/>
        <v>34.942847873540096</v>
      </c>
      <c r="F150" s="16">
        <f t="shared" ca="1" si="10"/>
        <v>47.140409377316637</v>
      </c>
      <c r="G150" s="16">
        <f t="shared" ca="1" si="10"/>
        <v>36.96607718057323</v>
      </c>
      <c r="H150" s="16">
        <f t="shared" ca="1" si="10"/>
        <v>28.766406346899497</v>
      </c>
      <c r="I150" s="16">
        <f t="shared" ca="1" si="10"/>
        <v>30.162222411150321</v>
      </c>
      <c r="J150" s="16">
        <f t="shared" ca="1" si="10"/>
        <v>26.125386391745284</v>
      </c>
      <c r="K150" s="16">
        <f t="shared" ca="1" si="10"/>
        <v>35.88525243630459</v>
      </c>
      <c r="L150" s="16">
        <f t="shared" ca="1" si="10"/>
        <v>28.680466822583305</v>
      </c>
    </row>
    <row r="151" spans="2:12" x14ac:dyDescent="0.3">
      <c r="B151" s="16">
        <f t="shared" si="11"/>
        <v>138</v>
      </c>
      <c r="C151" s="16">
        <f t="shared" ca="1" si="10"/>
        <v>36.571674914972974</v>
      </c>
      <c r="D151" s="16">
        <f t="shared" ca="1" si="10"/>
        <v>34.288493186139434</v>
      </c>
      <c r="E151" s="16">
        <f t="shared" ca="1" si="10"/>
        <v>35.113961713582881</v>
      </c>
      <c r="F151" s="16">
        <f t="shared" ca="1" si="10"/>
        <v>46.618750607400685</v>
      </c>
      <c r="G151" s="16">
        <f t="shared" ca="1" si="10"/>
        <v>37.082800696895035</v>
      </c>
      <c r="H151" s="16">
        <f t="shared" ca="1" si="10"/>
        <v>28.592126076960401</v>
      </c>
      <c r="I151" s="16">
        <f t="shared" ca="1" si="10"/>
        <v>29.289460046223834</v>
      </c>
      <c r="J151" s="16">
        <f t="shared" ca="1" si="10"/>
        <v>26.153973860181267</v>
      </c>
      <c r="K151" s="16">
        <f t="shared" ca="1" si="10"/>
        <v>37.513748357453736</v>
      </c>
      <c r="L151" s="16">
        <f t="shared" ca="1" si="10"/>
        <v>28.803672055795115</v>
      </c>
    </row>
    <row r="152" spans="2:12" x14ac:dyDescent="0.3">
      <c r="B152" s="16">
        <f t="shared" si="11"/>
        <v>139</v>
      </c>
      <c r="C152" s="16">
        <f t="shared" ca="1" si="10"/>
        <v>35.560549469578604</v>
      </c>
      <c r="D152" s="16">
        <f t="shared" ca="1" si="10"/>
        <v>33.679680980541697</v>
      </c>
      <c r="E152" s="16">
        <f t="shared" ca="1" si="10"/>
        <v>35.904425872253917</v>
      </c>
      <c r="F152" s="16">
        <f t="shared" ca="1" si="10"/>
        <v>47.845816786820556</v>
      </c>
      <c r="G152" s="16">
        <f t="shared" ca="1" si="10"/>
        <v>36.812150016684939</v>
      </c>
      <c r="H152" s="16">
        <f t="shared" ca="1" si="10"/>
        <v>29.168024636355131</v>
      </c>
      <c r="I152" s="16">
        <f t="shared" ca="1" si="10"/>
        <v>28.711365327503412</v>
      </c>
      <c r="J152" s="16">
        <f t="shared" ca="1" si="10"/>
        <v>26.694920716806617</v>
      </c>
      <c r="K152" s="16">
        <f t="shared" ca="1" si="10"/>
        <v>37.87126365635509</v>
      </c>
      <c r="L152" s="16">
        <f t="shared" ca="1" si="10"/>
        <v>29.468148483312504</v>
      </c>
    </row>
    <row r="153" spans="2:12" x14ac:dyDescent="0.3">
      <c r="B153" s="16">
        <f t="shared" si="11"/>
        <v>140</v>
      </c>
      <c r="C153" s="16">
        <f t="shared" ca="1" si="10"/>
        <v>35.839637770573063</v>
      </c>
      <c r="D153" s="16">
        <f t="shared" ca="1" si="10"/>
        <v>33.753156865171391</v>
      </c>
      <c r="E153" s="16">
        <f t="shared" ca="1" si="10"/>
        <v>36.810260057989694</v>
      </c>
      <c r="F153" s="16">
        <f t="shared" ca="1" si="10"/>
        <v>47.880943484744506</v>
      </c>
      <c r="G153" s="16">
        <f t="shared" ca="1" si="10"/>
        <v>36.53218015918754</v>
      </c>
      <c r="H153" s="16">
        <f t="shared" ca="1" si="10"/>
        <v>28.04834504129693</v>
      </c>
      <c r="I153" s="16">
        <f t="shared" ca="1" si="10"/>
        <v>28.923481814232868</v>
      </c>
      <c r="J153" s="16">
        <f t="shared" ca="1" si="10"/>
        <v>26.083834357134656</v>
      </c>
      <c r="K153" s="16">
        <f t="shared" ca="1" si="10"/>
        <v>37.410318143176887</v>
      </c>
      <c r="L153" s="16">
        <f t="shared" ca="1" si="10"/>
        <v>28.078799964595191</v>
      </c>
    </row>
    <row r="154" spans="2:12" x14ac:dyDescent="0.3">
      <c r="B154" s="16">
        <f t="shared" si="11"/>
        <v>141</v>
      </c>
      <c r="C154" s="16">
        <f t="shared" ca="1" si="10"/>
        <v>36.287357386900617</v>
      </c>
      <c r="D154" s="16">
        <f t="shared" ca="1" si="10"/>
        <v>33.243098921855939</v>
      </c>
      <c r="E154" s="16">
        <f t="shared" ca="1" si="10"/>
        <v>37.03005738399731</v>
      </c>
      <c r="F154" s="16">
        <f t="shared" ca="1" si="10"/>
        <v>47.866809860266443</v>
      </c>
      <c r="G154" s="16">
        <f t="shared" ca="1" si="10"/>
        <v>36.475721578712971</v>
      </c>
      <c r="H154" s="16">
        <f t="shared" ca="1" si="10"/>
        <v>28.05628868395749</v>
      </c>
      <c r="I154" s="16">
        <f t="shared" ca="1" si="10"/>
        <v>28.404201821147765</v>
      </c>
      <c r="J154" s="16">
        <f t="shared" ca="1" si="10"/>
        <v>25.355607143843685</v>
      </c>
      <c r="K154" s="16">
        <f t="shared" ca="1" si="10"/>
        <v>38.111864405292188</v>
      </c>
      <c r="L154" s="16">
        <f t="shared" ca="1" si="10"/>
        <v>28.163611749929192</v>
      </c>
    </row>
    <row r="155" spans="2:12" x14ac:dyDescent="0.3">
      <c r="B155" s="16">
        <f t="shared" si="11"/>
        <v>142</v>
      </c>
      <c r="C155" s="16">
        <f t="shared" ca="1" si="10"/>
        <v>36.867479139818137</v>
      </c>
      <c r="D155" s="16">
        <f t="shared" ca="1" si="10"/>
        <v>33.070495920826865</v>
      </c>
      <c r="E155" s="16">
        <f t="shared" ca="1" si="10"/>
        <v>36.524592525998386</v>
      </c>
      <c r="F155" s="16">
        <f t="shared" ca="1" si="10"/>
        <v>46.764289803388053</v>
      </c>
      <c r="G155" s="16">
        <f t="shared" ca="1" si="10"/>
        <v>36.169228198362163</v>
      </c>
      <c r="H155" s="16">
        <f t="shared" ca="1" si="10"/>
        <v>27.945404414531183</v>
      </c>
      <c r="I155" s="16">
        <f t="shared" ca="1" si="10"/>
        <v>28.327228254176902</v>
      </c>
      <c r="J155" s="16">
        <f t="shared" ca="1" si="10"/>
        <v>24.952247679264165</v>
      </c>
      <c r="K155" s="16">
        <f t="shared" ca="1" si="10"/>
        <v>38.364109774922085</v>
      </c>
      <c r="L155" s="16">
        <f t="shared" ca="1" si="10"/>
        <v>28.270043762514941</v>
      </c>
    </row>
    <row r="156" spans="2:12" x14ac:dyDescent="0.3">
      <c r="B156" s="16">
        <f t="shared" si="11"/>
        <v>143</v>
      </c>
      <c r="C156" s="16">
        <f t="shared" ca="1" si="10"/>
        <v>37.376642761328938</v>
      </c>
      <c r="D156" s="16">
        <f t="shared" ca="1" si="10"/>
        <v>32.227957391269364</v>
      </c>
      <c r="E156" s="16">
        <f t="shared" ca="1" si="10"/>
        <v>36.513880768891184</v>
      </c>
      <c r="F156" s="16">
        <f t="shared" ca="1" si="10"/>
        <v>45.874174528302007</v>
      </c>
      <c r="G156" s="16">
        <f t="shared" ca="1" si="10"/>
        <v>37.047410653874266</v>
      </c>
      <c r="H156" s="16">
        <f t="shared" ca="1" si="10"/>
        <v>28.213029122642133</v>
      </c>
      <c r="I156" s="16">
        <f t="shared" ca="1" si="10"/>
        <v>28.664259804709321</v>
      </c>
      <c r="J156" s="16">
        <f t="shared" ca="1" si="10"/>
        <v>24.932929031490556</v>
      </c>
      <c r="K156" s="16">
        <f t="shared" ca="1" si="10"/>
        <v>38.255451097816874</v>
      </c>
      <c r="L156" s="16">
        <f t="shared" ca="1" si="10"/>
        <v>27.52532022377379</v>
      </c>
    </row>
    <row r="157" spans="2:12" x14ac:dyDescent="0.3">
      <c r="B157" s="16">
        <f t="shared" si="11"/>
        <v>144</v>
      </c>
      <c r="C157" s="16">
        <f t="shared" ca="1" si="10"/>
        <v>36.652246447473026</v>
      </c>
      <c r="D157" s="16">
        <f t="shared" ca="1" si="10"/>
        <v>32.570581668823309</v>
      </c>
      <c r="E157" s="16">
        <f t="shared" ca="1" si="10"/>
        <v>35.65839765164958</v>
      </c>
      <c r="F157" s="16">
        <f t="shared" ca="1" si="10"/>
        <v>47.128627714923383</v>
      </c>
      <c r="G157" s="16">
        <f t="shared" ca="1" si="10"/>
        <v>36.396687156657059</v>
      </c>
      <c r="H157" s="16">
        <f t="shared" ca="1" si="10"/>
        <v>28.760351495220551</v>
      </c>
      <c r="I157" s="16">
        <f t="shared" ca="1" si="10"/>
        <v>28.538560752347934</v>
      </c>
      <c r="J157" s="16">
        <f t="shared" ca="1" si="10"/>
        <v>25.246661678938768</v>
      </c>
      <c r="K157" s="16">
        <f t="shared" ca="1" si="10"/>
        <v>39.689053311694799</v>
      </c>
      <c r="L157" s="16">
        <f t="shared" ca="1" si="10"/>
        <v>27.981246425969843</v>
      </c>
    </row>
    <row r="158" spans="2:12" x14ac:dyDescent="0.3">
      <c r="B158" s="16">
        <f t="shared" si="11"/>
        <v>145</v>
      </c>
      <c r="C158" s="16">
        <f t="shared" ref="C158:L173" ca="1" si="12">C157*EXP(($E$5-0.5*$E$6*$E$6)*$E$7+$E$6*SQRT($E$7)*_xlfn.NORM.S.INV(RAND()))</f>
        <v>38.545814721704431</v>
      </c>
      <c r="D158" s="16">
        <f t="shared" ca="1" si="12"/>
        <v>32.773688631335226</v>
      </c>
      <c r="E158" s="16">
        <f t="shared" ca="1" si="12"/>
        <v>35.942208521276882</v>
      </c>
      <c r="F158" s="16">
        <f t="shared" ca="1" si="12"/>
        <v>47.269948417008408</v>
      </c>
      <c r="G158" s="16">
        <f t="shared" ca="1" si="12"/>
        <v>36.336939296769174</v>
      </c>
      <c r="H158" s="16">
        <f t="shared" ca="1" si="12"/>
        <v>28.569688683773176</v>
      </c>
      <c r="I158" s="16">
        <f t="shared" ca="1" si="12"/>
        <v>29.066506979486757</v>
      </c>
      <c r="J158" s="16">
        <f t="shared" ca="1" si="12"/>
        <v>25.361038038301931</v>
      </c>
      <c r="K158" s="16">
        <f t="shared" ca="1" si="12"/>
        <v>39.971660843692113</v>
      </c>
      <c r="L158" s="16">
        <f t="shared" ca="1" si="12"/>
        <v>28.41464556347459</v>
      </c>
    </row>
    <row r="159" spans="2:12" x14ac:dyDescent="0.3">
      <c r="B159" s="16">
        <f t="shared" si="11"/>
        <v>146</v>
      </c>
      <c r="C159" s="16">
        <f t="shared" ca="1" si="12"/>
        <v>38.49931534894273</v>
      </c>
      <c r="D159" s="16">
        <f t="shared" ca="1" si="12"/>
        <v>31.225392974578149</v>
      </c>
      <c r="E159" s="16">
        <f t="shared" ca="1" si="12"/>
        <v>35.794837163122082</v>
      </c>
      <c r="F159" s="16">
        <f t="shared" ca="1" si="12"/>
        <v>46.215842637880804</v>
      </c>
      <c r="G159" s="16">
        <f t="shared" ca="1" si="12"/>
        <v>36.426854348506502</v>
      </c>
      <c r="H159" s="16">
        <f t="shared" ca="1" si="12"/>
        <v>27.987902289490879</v>
      </c>
      <c r="I159" s="16">
        <f t="shared" ca="1" si="12"/>
        <v>29.536298656658847</v>
      </c>
      <c r="J159" s="16">
        <f t="shared" ca="1" si="12"/>
        <v>26.627467475448089</v>
      </c>
      <c r="K159" s="16">
        <f t="shared" ca="1" si="12"/>
        <v>41.100834589077039</v>
      </c>
      <c r="L159" s="16">
        <f t="shared" ca="1" si="12"/>
        <v>27.619502953414823</v>
      </c>
    </row>
    <row r="160" spans="2:12" x14ac:dyDescent="0.3">
      <c r="B160" s="16">
        <f t="shared" si="11"/>
        <v>147</v>
      </c>
      <c r="C160" s="16">
        <f t="shared" ca="1" si="12"/>
        <v>39.632917913196081</v>
      </c>
      <c r="D160" s="16">
        <f t="shared" ca="1" si="12"/>
        <v>31.216301479450351</v>
      </c>
      <c r="E160" s="16">
        <f t="shared" ca="1" si="12"/>
        <v>35.881406191990813</v>
      </c>
      <c r="F160" s="16">
        <f t="shared" ca="1" si="12"/>
        <v>46.056130870269108</v>
      </c>
      <c r="G160" s="16">
        <f t="shared" ca="1" si="12"/>
        <v>36.395563233187637</v>
      </c>
      <c r="H160" s="16">
        <f t="shared" ca="1" si="12"/>
        <v>27.125840849330704</v>
      </c>
      <c r="I160" s="16">
        <f t="shared" ca="1" si="12"/>
        <v>29.679922167939008</v>
      </c>
      <c r="J160" s="16">
        <f t="shared" ca="1" si="12"/>
        <v>26.48958820344583</v>
      </c>
      <c r="K160" s="16">
        <f t="shared" ca="1" si="12"/>
        <v>40.081404944027497</v>
      </c>
      <c r="L160" s="16">
        <f t="shared" ca="1" si="12"/>
        <v>27.605143269919228</v>
      </c>
    </row>
    <row r="161" spans="2:12" x14ac:dyDescent="0.3">
      <c r="B161" s="16">
        <f t="shared" si="11"/>
        <v>148</v>
      </c>
      <c r="C161" s="16">
        <f t="shared" ca="1" si="12"/>
        <v>39.165124502580852</v>
      </c>
      <c r="D161" s="16">
        <f t="shared" ca="1" si="12"/>
        <v>30.777241494178678</v>
      </c>
      <c r="E161" s="16">
        <f t="shared" ca="1" si="12"/>
        <v>34.757679248230211</v>
      </c>
      <c r="F161" s="16">
        <f t="shared" ca="1" si="12"/>
        <v>46.353195679573695</v>
      </c>
      <c r="G161" s="16">
        <f t="shared" ca="1" si="12"/>
        <v>36.447517110137142</v>
      </c>
      <c r="H161" s="16">
        <f t="shared" ca="1" si="12"/>
        <v>26.691151251334439</v>
      </c>
      <c r="I161" s="16">
        <f t="shared" ca="1" si="12"/>
        <v>29.672975232570131</v>
      </c>
      <c r="J161" s="16">
        <f t="shared" ca="1" si="12"/>
        <v>26.134689824858711</v>
      </c>
      <c r="K161" s="16">
        <f t="shared" ca="1" si="12"/>
        <v>40.979596245301963</v>
      </c>
      <c r="L161" s="16">
        <f t="shared" ca="1" si="12"/>
        <v>26.681669571366658</v>
      </c>
    </row>
    <row r="162" spans="2:12" x14ac:dyDescent="0.3">
      <c r="B162" s="16">
        <f t="shared" si="11"/>
        <v>149</v>
      </c>
      <c r="C162" s="16">
        <f t="shared" ca="1" si="12"/>
        <v>40.24651345288909</v>
      </c>
      <c r="D162" s="16">
        <f t="shared" ca="1" si="12"/>
        <v>31.000079047808331</v>
      </c>
      <c r="E162" s="16">
        <f t="shared" ca="1" si="12"/>
        <v>35.073116867869452</v>
      </c>
      <c r="F162" s="16">
        <f t="shared" ca="1" si="12"/>
        <v>46.761867239577455</v>
      </c>
      <c r="G162" s="16">
        <f t="shared" ca="1" si="12"/>
        <v>36.781006631196277</v>
      </c>
      <c r="H162" s="16">
        <f t="shared" ca="1" si="12"/>
        <v>26.615172985000079</v>
      </c>
      <c r="I162" s="16">
        <f t="shared" ca="1" si="12"/>
        <v>29.115317844561769</v>
      </c>
      <c r="J162" s="16">
        <f t="shared" ca="1" si="12"/>
        <v>25.273339191743759</v>
      </c>
      <c r="K162" s="16">
        <f t="shared" ca="1" si="12"/>
        <v>41.087075524850405</v>
      </c>
      <c r="L162" s="16">
        <f t="shared" ca="1" si="12"/>
        <v>26.385189707780935</v>
      </c>
    </row>
    <row r="163" spans="2:12" x14ac:dyDescent="0.3">
      <c r="B163" s="16">
        <f t="shared" si="11"/>
        <v>150</v>
      </c>
      <c r="C163" s="16">
        <f t="shared" ca="1" si="12"/>
        <v>41.078832836112973</v>
      </c>
      <c r="D163" s="16">
        <f t="shared" ca="1" si="12"/>
        <v>30.051221493722053</v>
      </c>
      <c r="E163" s="16">
        <f t="shared" ca="1" si="12"/>
        <v>36.151667243213957</v>
      </c>
      <c r="F163" s="16">
        <f t="shared" ca="1" si="12"/>
        <v>46.581541342152669</v>
      </c>
      <c r="G163" s="16">
        <f t="shared" ca="1" si="12"/>
        <v>36.970492521948714</v>
      </c>
      <c r="H163" s="16">
        <f t="shared" ca="1" si="12"/>
        <v>26.396507062220923</v>
      </c>
      <c r="I163" s="16">
        <f t="shared" ca="1" si="12"/>
        <v>28.885688080724599</v>
      </c>
      <c r="J163" s="16">
        <f t="shared" ca="1" si="12"/>
        <v>24.566950134193014</v>
      </c>
      <c r="K163" s="16">
        <f t="shared" ca="1" si="12"/>
        <v>41.603187489301114</v>
      </c>
      <c r="L163" s="16">
        <f t="shared" ca="1" si="12"/>
        <v>26.579657769624909</v>
      </c>
    </row>
    <row r="164" spans="2:12" x14ac:dyDescent="0.3">
      <c r="B164" s="16">
        <f t="shared" si="11"/>
        <v>151</v>
      </c>
      <c r="C164" s="16">
        <f t="shared" ca="1" si="12"/>
        <v>40.754764078490616</v>
      </c>
      <c r="D164" s="16">
        <f t="shared" ca="1" si="12"/>
        <v>30.606019807728398</v>
      </c>
      <c r="E164" s="16">
        <f t="shared" ca="1" si="12"/>
        <v>35.839481540491334</v>
      </c>
      <c r="F164" s="16">
        <f t="shared" ca="1" si="12"/>
        <v>45.658703012256169</v>
      </c>
      <c r="G164" s="16">
        <f t="shared" ca="1" si="12"/>
        <v>36.523426772112259</v>
      </c>
      <c r="H164" s="16">
        <f t="shared" ca="1" si="12"/>
        <v>26.47154220507721</v>
      </c>
      <c r="I164" s="16">
        <f t="shared" ca="1" si="12"/>
        <v>29.562247914452254</v>
      </c>
      <c r="J164" s="16">
        <f t="shared" ca="1" si="12"/>
        <v>24.212810987706675</v>
      </c>
      <c r="K164" s="16">
        <f t="shared" ca="1" si="12"/>
        <v>43.300668250522392</v>
      </c>
      <c r="L164" s="16">
        <f t="shared" ca="1" si="12"/>
        <v>27.078064856797198</v>
      </c>
    </row>
    <row r="165" spans="2:12" x14ac:dyDescent="0.3">
      <c r="B165" s="16">
        <f t="shared" si="11"/>
        <v>152</v>
      </c>
      <c r="C165" s="16">
        <f t="shared" ca="1" si="12"/>
        <v>39.162804016791711</v>
      </c>
      <c r="D165" s="16">
        <f t="shared" ca="1" si="12"/>
        <v>30.845006833765915</v>
      </c>
      <c r="E165" s="16">
        <f t="shared" ca="1" si="12"/>
        <v>36.616850492737953</v>
      </c>
      <c r="F165" s="16">
        <f t="shared" ca="1" si="12"/>
        <v>45.224861834833803</v>
      </c>
      <c r="G165" s="16">
        <f t="shared" ca="1" si="12"/>
        <v>36.836236753453086</v>
      </c>
      <c r="H165" s="16">
        <f t="shared" ca="1" si="12"/>
        <v>26.728858832002853</v>
      </c>
      <c r="I165" s="16">
        <f t="shared" ca="1" si="12"/>
        <v>30.487397662591469</v>
      </c>
      <c r="J165" s="16">
        <f t="shared" ca="1" si="12"/>
        <v>23.585943050889462</v>
      </c>
      <c r="K165" s="16">
        <f t="shared" ca="1" si="12"/>
        <v>41.371371963331178</v>
      </c>
      <c r="L165" s="16">
        <f t="shared" ca="1" si="12"/>
        <v>26.338487504907718</v>
      </c>
    </row>
    <row r="166" spans="2:12" x14ac:dyDescent="0.3">
      <c r="B166" s="16">
        <f t="shared" si="11"/>
        <v>153</v>
      </c>
      <c r="C166" s="16">
        <f t="shared" ca="1" si="12"/>
        <v>40.528887816586483</v>
      </c>
      <c r="D166" s="16">
        <f t="shared" ca="1" si="12"/>
        <v>31.717730226579913</v>
      </c>
      <c r="E166" s="16">
        <f t="shared" ca="1" si="12"/>
        <v>36.976368540725055</v>
      </c>
      <c r="F166" s="16">
        <f t="shared" ca="1" si="12"/>
        <v>45.190865922853398</v>
      </c>
      <c r="G166" s="16">
        <f t="shared" ca="1" si="12"/>
        <v>35.416038174181878</v>
      </c>
      <c r="H166" s="16">
        <f t="shared" ca="1" si="12"/>
        <v>26.524394487828619</v>
      </c>
      <c r="I166" s="16">
        <f t="shared" ca="1" si="12"/>
        <v>29.7663427987369</v>
      </c>
      <c r="J166" s="16">
        <f t="shared" ca="1" si="12"/>
        <v>23.379375887565228</v>
      </c>
      <c r="K166" s="16">
        <f t="shared" ca="1" si="12"/>
        <v>41.709211901381273</v>
      </c>
      <c r="L166" s="16">
        <f t="shared" ca="1" si="12"/>
        <v>25.839448961634208</v>
      </c>
    </row>
    <row r="167" spans="2:12" x14ac:dyDescent="0.3">
      <c r="B167" s="16">
        <f t="shared" si="11"/>
        <v>154</v>
      </c>
      <c r="C167" s="16">
        <f t="shared" ca="1" si="12"/>
        <v>40.757066806018074</v>
      </c>
      <c r="D167" s="16">
        <f t="shared" ca="1" si="12"/>
        <v>32.170306397890805</v>
      </c>
      <c r="E167" s="16">
        <f t="shared" ca="1" si="12"/>
        <v>37.73337896110079</v>
      </c>
      <c r="F167" s="16">
        <f t="shared" ca="1" si="12"/>
        <v>44.737432753237208</v>
      </c>
      <c r="G167" s="16">
        <f t="shared" ca="1" si="12"/>
        <v>35.998201312900747</v>
      </c>
      <c r="H167" s="16">
        <f t="shared" ca="1" si="12"/>
        <v>26.475394984703875</v>
      </c>
      <c r="I167" s="16">
        <f t="shared" ca="1" si="12"/>
        <v>30.248373245887514</v>
      </c>
      <c r="J167" s="16">
        <f t="shared" ca="1" si="12"/>
        <v>23.44271905962805</v>
      </c>
      <c r="K167" s="16">
        <f t="shared" ca="1" si="12"/>
        <v>42.53861902852389</v>
      </c>
      <c r="L167" s="16">
        <f t="shared" ca="1" si="12"/>
        <v>25.833817236453445</v>
      </c>
    </row>
    <row r="168" spans="2:12" x14ac:dyDescent="0.3">
      <c r="B168" s="16">
        <f t="shared" si="11"/>
        <v>155</v>
      </c>
      <c r="C168" s="16">
        <f t="shared" ca="1" si="12"/>
        <v>41.832560084794324</v>
      </c>
      <c r="D168" s="16">
        <f t="shared" ca="1" si="12"/>
        <v>32.743308364738567</v>
      </c>
      <c r="E168" s="16">
        <f t="shared" ca="1" si="12"/>
        <v>37.462177558133341</v>
      </c>
      <c r="F168" s="16">
        <f t="shared" ca="1" si="12"/>
        <v>43.488884102189914</v>
      </c>
      <c r="G168" s="16">
        <f t="shared" ca="1" si="12"/>
        <v>36.667794443412681</v>
      </c>
      <c r="H168" s="16">
        <f t="shared" ca="1" si="12"/>
        <v>26.541234092431473</v>
      </c>
      <c r="I168" s="16">
        <f t="shared" ca="1" si="12"/>
        <v>29.179207344669219</v>
      </c>
      <c r="J168" s="16">
        <f t="shared" ca="1" si="12"/>
        <v>23.978191415688958</v>
      </c>
      <c r="K168" s="16">
        <f t="shared" ca="1" si="12"/>
        <v>43.571138994596168</v>
      </c>
      <c r="L168" s="16">
        <f t="shared" ca="1" si="12"/>
        <v>26.307486864698166</v>
      </c>
    </row>
    <row r="169" spans="2:12" x14ac:dyDescent="0.3">
      <c r="B169" s="16">
        <f t="shared" si="11"/>
        <v>156</v>
      </c>
      <c r="C169" s="16">
        <f t="shared" ca="1" si="12"/>
        <v>43.673892843051441</v>
      </c>
      <c r="D169" s="16">
        <f t="shared" ca="1" si="12"/>
        <v>32.78875328000985</v>
      </c>
      <c r="E169" s="16">
        <f t="shared" ca="1" si="12"/>
        <v>37.564804563361143</v>
      </c>
      <c r="F169" s="16">
        <f t="shared" ca="1" si="12"/>
        <v>44.044691459363555</v>
      </c>
      <c r="G169" s="16">
        <f t="shared" ca="1" si="12"/>
        <v>37.275385125030319</v>
      </c>
      <c r="H169" s="16">
        <f t="shared" ca="1" si="12"/>
        <v>26.709774767259681</v>
      </c>
      <c r="I169" s="16">
        <f t="shared" ca="1" si="12"/>
        <v>29.511117626751201</v>
      </c>
      <c r="J169" s="16">
        <f t="shared" ca="1" si="12"/>
        <v>23.529402666400127</v>
      </c>
      <c r="K169" s="16">
        <f t="shared" ca="1" si="12"/>
        <v>44.339045498872338</v>
      </c>
      <c r="L169" s="16">
        <f t="shared" ca="1" si="12"/>
        <v>26.435377305574004</v>
      </c>
    </row>
    <row r="170" spans="2:12" x14ac:dyDescent="0.3">
      <c r="B170" s="16">
        <f t="shared" si="11"/>
        <v>157</v>
      </c>
      <c r="C170" s="16">
        <f t="shared" ca="1" si="12"/>
        <v>43.721569686791597</v>
      </c>
      <c r="D170" s="16">
        <f t="shared" ca="1" si="12"/>
        <v>32.898232315315241</v>
      </c>
      <c r="E170" s="16">
        <f t="shared" ca="1" si="12"/>
        <v>37.17483266033318</v>
      </c>
      <c r="F170" s="16">
        <f t="shared" ca="1" si="12"/>
        <v>44.685254309948022</v>
      </c>
      <c r="G170" s="16">
        <f t="shared" ca="1" si="12"/>
        <v>37.717288103003668</v>
      </c>
      <c r="H170" s="16">
        <f t="shared" ca="1" si="12"/>
        <v>25.900541569647956</v>
      </c>
      <c r="I170" s="16">
        <f t="shared" ca="1" si="12"/>
        <v>30.8192690408512</v>
      </c>
      <c r="J170" s="16">
        <f t="shared" ca="1" si="12"/>
        <v>23.656379141192652</v>
      </c>
      <c r="K170" s="16">
        <f t="shared" ca="1" si="12"/>
        <v>44.288945816339663</v>
      </c>
      <c r="L170" s="16">
        <f t="shared" ca="1" si="12"/>
        <v>26.048742193503724</v>
      </c>
    </row>
    <row r="171" spans="2:12" x14ac:dyDescent="0.3">
      <c r="B171" s="16">
        <f t="shared" si="11"/>
        <v>158</v>
      </c>
      <c r="C171" s="16">
        <f t="shared" ca="1" si="12"/>
        <v>43.436621864441875</v>
      </c>
      <c r="D171" s="16">
        <f t="shared" ca="1" si="12"/>
        <v>33.227225035754323</v>
      </c>
      <c r="E171" s="16">
        <f t="shared" ca="1" si="12"/>
        <v>37.979861039417003</v>
      </c>
      <c r="F171" s="16">
        <f t="shared" ca="1" si="12"/>
        <v>44.755039816766825</v>
      </c>
      <c r="G171" s="16">
        <f t="shared" ca="1" si="12"/>
        <v>38.442820082192029</v>
      </c>
      <c r="H171" s="16">
        <f t="shared" ca="1" si="12"/>
        <v>26.107199759064081</v>
      </c>
      <c r="I171" s="16">
        <f t="shared" ca="1" si="12"/>
        <v>30.05464330933771</v>
      </c>
      <c r="J171" s="16">
        <f t="shared" ca="1" si="12"/>
        <v>23.295908556563962</v>
      </c>
      <c r="K171" s="16">
        <f t="shared" ca="1" si="12"/>
        <v>44.15784240649085</v>
      </c>
      <c r="L171" s="16">
        <f t="shared" ca="1" si="12"/>
        <v>26.145481903490065</v>
      </c>
    </row>
    <row r="172" spans="2:12" x14ac:dyDescent="0.3">
      <c r="B172" s="16">
        <f t="shared" si="11"/>
        <v>159</v>
      </c>
      <c r="C172" s="16">
        <f t="shared" ca="1" si="12"/>
        <v>43.297099300236098</v>
      </c>
      <c r="D172" s="16">
        <f t="shared" ca="1" si="12"/>
        <v>33.815633089061009</v>
      </c>
      <c r="E172" s="16">
        <f t="shared" ca="1" si="12"/>
        <v>36.71459992863381</v>
      </c>
      <c r="F172" s="16">
        <f t="shared" ca="1" si="12"/>
        <v>45.177934688415334</v>
      </c>
      <c r="G172" s="16">
        <f t="shared" ca="1" si="12"/>
        <v>37.689486471656849</v>
      </c>
      <c r="H172" s="16">
        <f t="shared" ca="1" si="12"/>
        <v>26.111221087245195</v>
      </c>
      <c r="I172" s="16">
        <f t="shared" ca="1" si="12"/>
        <v>29.63242732098163</v>
      </c>
      <c r="J172" s="16">
        <f t="shared" ca="1" si="12"/>
        <v>22.923872099091689</v>
      </c>
      <c r="K172" s="16">
        <f t="shared" ca="1" si="12"/>
        <v>43.716468126901084</v>
      </c>
      <c r="L172" s="16">
        <f t="shared" ca="1" si="12"/>
        <v>26.872914995317736</v>
      </c>
    </row>
    <row r="173" spans="2:12" x14ac:dyDescent="0.3">
      <c r="B173" s="16">
        <f t="shared" si="11"/>
        <v>160</v>
      </c>
      <c r="C173" s="16">
        <f t="shared" ca="1" si="12"/>
        <v>44.441310717038036</v>
      </c>
      <c r="D173" s="16">
        <f t="shared" ca="1" si="12"/>
        <v>34.126480359915085</v>
      </c>
      <c r="E173" s="16">
        <f t="shared" ca="1" si="12"/>
        <v>36.695234878260614</v>
      </c>
      <c r="F173" s="16">
        <f t="shared" ca="1" si="12"/>
        <v>43.758118538504199</v>
      </c>
      <c r="G173" s="16">
        <f t="shared" ca="1" si="12"/>
        <v>36.85738143855189</v>
      </c>
      <c r="H173" s="16">
        <f t="shared" ca="1" si="12"/>
        <v>26.567680450552437</v>
      </c>
      <c r="I173" s="16">
        <f t="shared" ca="1" si="12"/>
        <v>30.633672074090576</v>
      </c>
      <c r="J173" s="16">
        <f t="shared" ca="1" si="12"/>
        <v>22.692564050225268</v>
      </c>
      <c r="K173" s="16">
        <f t="shared" ca="1" si="12"/>
        <v>43.262587079504819</v>
      </c>
      <c r="L173" s="16">
        <f t="shared" ca="1" si="12"/>
        <v>27.064206262170426</v>
      </c>
    </row>
    <row r="174" spans="2:12" x14ac:dyDescent="0.3">
      <c r="B174" s="16">
        <f t="shared" si="11"/>
        <v>161</v>
      </c>
      <c r="C174" s="16">
        <f t="shared" ref="C174:L189" ca="1" si="13">C173*EXP(($E$5-0.5*$E$6*$E$6)*$E$7+$E$6*SQRT($E$7)*_xlfn.NORM.S.INV(RAND()))</f>
        <v>43.606710363856521</v>
      </c>
      <c r="D174" s="16">
        <f t="shared" ca="1" si="13"/>
        <v>34.271617228450509</v>
      </c>
      <c r="E174" s="16">
        <f t="shared" ca="1" si="13"/>
        <v>36.253654839502623</v>
      </c>
      <c r="F174" s="16">
        <f t="shared" ca="1" si="13"/>
        <v>45.172203075646308</v>
      </c>
      <c r="G174" s="16">
        <f t="shared" ca="1" si="13"/>
        <v>37.271292714281557</v>
      </c>
      <c r="H174" s="16">
        <f t="shared" ca="1" si="13"/>
        <v>27.155614752635771</v>
      </c>
      <c r="I174" s="16">
        <f t="shared" ca="1" si="13"/>
        <v>30.330288722401015</v>
      </c>
      <c r="J174" s="16">
        <f t="shared" ca="1" si="13"/>
        <v>22.488398304944468</v>
      </c>
      <c r="K174" s="16">
        <f t="shared" ca="1" si="13"/>
        <v>44.860990072677446</v>
      </c>
      <c r="L174" s="16">
        <f t="shared" ca="1" si="13"/>
        <v>27.193255449012181</v>
      </c>
    </row>
    <row r="175" spans="2:12" x14ac:dyDescent="0.3">
      <c r="B175" s="16">
        <f t="shared" si="11"/>
        <v>162</v>
      </c>
      <c r="C175" s="16">
        <f t="shared" ca="1" si="13"/>
        <v>43.917436955209389</v>
      </c>
      <c r="D175" s="16">
        <f t="shared" ca="1" si="13"/>
        <v>35.050929432105079</v>
      </c>
      <c r="E175" s="16">
        <f t="shared" ca="1" si="13"/>
        <v>35.706060258555098</v>
      </c>
      <c r="F175" s="16">
        <f t="shared" ca="1" si="13"/>
        <v>43.359261378556141</v>
      </c>
      <c r="G175" s="16">
        <f t="shared" ca="1" si="13"/>
        <v>38.256261084144121</v>
      </c>
      <c r="H175" s="16">
        <f t="shared" ca="1" si="13"/>
        <v>27.166671485472641</v>
      </c>
      <c r="I175" s="16">
        <f t="shared" ca="1" si="13"/>
        <v>30.273474664916321</v>
      </c>
      <c r="J175" s="16">
        <f t="shared" ca="1" si="13"/>
        <v>21.999759039365728</v>
      </c>
      <c r="K175" s="16">
        <f t="shared" ca="1" si="13"/>
        <v>45.916106776608117</v>
      </c>
      <c r="L175" s="16">
        <f t="shared" ca="1" si="13"/>
        <v>26.543170774224549</v>
      </c>
    </row>
    <row r="176" spans="2:12" x14ac:dyDescent="0.3">
      <c r="B176" s="16">
        <f t="shared" si="11"/>
        <v>163</v>
      </c>
      <c r="C176" s="16">
        <f t="shared" ca="1" si="13"/>
        <v>43.882115507407754</v>
      </c>
      <c r="D176" s="16">
        <f t="shared" ca="1" si="13"/>
        <v>35.775076556855566</v>
      </c>
      <c r="E176" s="16">
        <f t="shared" ca="1" si="13"/>
        <v>36.393006391386443</v>
      </c>
      <c r="F176" s="16">
        <f t="shared" ca="1" si="13"/>
        <v>42.479527033790468</v>
      </c>
      <c r="G176" s="16">
        <f t="shared" ca="1" si="13"/>
        <v>38.615843297584284</v>
      </c>
      <c r="H176" s="16">
        <f t="shared" ca="1" si="13"/>
        <v>27.463254010575554</v>
      </c>
      <c r="I176" s="16">
        <f t="shared" ca="1" si="13"/>
        <v>30.435539296168198</v>
      </c>
      <c r="J176" s="16">
        <f t="shared" ca="1" si="13"/>
        <v>22.452230797716364</v>
      </c>
      <c r="K176" s="16">
        <f t="shared" ca="1" si="13"/>
        <v>45.246283172521821</v>
      </c>
      <c r="L176" s="16">
        <f t="shared" ca="1" si="13"/>
        <v>26.207490396767138</v>
      </c>
    </row>
    <row r="177" spans="2:12" x14ac:dyDescent="0.3">
      <c r="B177" s="16">
        <f t="shared" si="11"/>
        <v>164</v>
      </c>
      <c r="C177" s="16">
        <f t="shared" ca="1" si="13"/>
        <v>45.086759877037338</v>
      </c>
      <c r="D177" s="16">
        <f t="shared" ca="1" si="13"/>
        <v>36.128415312667528</v>
      </c>
      <c r="E177" s="16">
        <f t="shared" ca="1" si="13"/>
        <v>36.866966011398922</v>
      </c>
      <c r="F177" s="16">
        <f t="shared" ca="1" si="13"/>
        <v>41.797975188722347</v>
      </c>
      <c r="G177" s="16">
        <f t="shared" ca="1" si="13"/>
        <v>37.564108235871672</v>
      </c>
      <c r="H177" s="16">
        <f t="shared" ca="1" si="13"/>
        <v>27.325700781791152</v>
      </c>
      <c r="I177" s="16">
        <f t="shared" ca="1" si="13"/>
        <v>30.827075907477617</v>
      </c>
      <c r="J177" s="16">
        <f t="shared" ca="1" si="13"/>
        <v>21.966106684789754</v>
      </c>
      <c r="K177" s="16">
        <f t="shared" ca="1" si="13"/>
        <v>44.960660315763818</v>
      </c>
      <c r="L177" s="16">
        <f t="shared" ca="1" si="13"/>
        <v>26.784867516389852</v>
      </c>
    </row>
    <row r="178" spans="2:12" x14ac:dyDescent="0.3">
      <c r="B178" s="16">
        <f t="shared" si="11"/>
        <v>165</v>
      </c>
      <c r="C178" s="16">
        <f t="shared" ca="1" si="13"/>
        <v>45.901191426825385</v>
      </c>
      <c r="D178" s="16">
        <f t="shared" ca="1" si="13"/>
        <v>36.419645391358465</v>
      </c>
      <c r="E178" s="16">
        <f t="shared" ca="1" si="13"/>
        <v>35.989617162413033</v>
      </c>
      <c r="F178" s="16">
        <f t="shared" ca="1" si="13"/>
        <v>41.298999154325912</v>
      </c>
      <c r="G178" s="16">
        <f t="shared" ca="1" si="13"/>
        <v>37.776109433509696</v>
      </c>
      <c r="H178" s="16">
        <f t="shared" ca="1" si="13"/>
        <v>26.889778003565162</v>
      </c>
      <c r="I178" s="16">
        <f t="shared" ca="1" si="13"/>
        <v>30.350402725010088</v>
      </c>
      <c r="J178" s="16">
        <f t="shared" ca="1" si="13"/>
        <v>21.989905968939212</v>
      </c>
      <c r="K178" s="16">
        <f t="shared" ca="1" si="13"/>
        <v>44.549450231286443</v>
      </c>
      <c r="L178" s="16">
        <f t="shared" ca="1" si="13"/>
        <v>26.383788273915105</v>
      </c>
    </row>
    <row r="179" spans="2:12" x14ac:dyDescent="0.3">
      <c r="B179" s="16">
        <f t="shared" si="11"/>
        <v>166</v>
      </c>
      <c r="C179" s="16">
        <f t="shared" ca="1" si="13"/>
        <v>46.241505902883013</v>
      </c>
      <c r="D179" s="16">
        <f t="shared" ca="1" si="13"/>
        <v>36.416125581680205</v>
      </c>
      <c r="E179" s="16">
        <f t="shared" ca="1" si="13"/>
        <v>35.4307584213891</v>
      </c>
      <c r="F179" s="16">
        <f t="shared" ca="1" si="13"/>
        <v>40.973175545290161</v>
      </c>
      <c r="G179" s="16">
        <f t="shared" ca="1" si="13"/>
        <v>36.366725451585253</v>
      </c>
      <c r="H179" s="16">
        <f t="shared" ca="1" si="13"/>
        <v>26.439493263279257</v>
      </c>
      <c r="I179" s="16">
        <f t="shared" ca="1" si="13"/>
        <v>30.661685069623822</v>
      </c>
      <c r="J179" s="16">
        <f t="shared" ca="1" si="13"/>
        <v>21.899858651726163</v>
      </c>
      <c r="K179" s="16">
        <f t="shared" ca="1" si="13"/>
        <v>45.333696713437966</v>
      </c>
      <c r="L179" s="16">
        <f t="shared" ca="1" si="13"/>
        <v>26.573114329671395</v>
      </c>
    </row>
    <row r="180" spans="2:12" x14ac:dyDescent="0.3">
      <c r="B180" s="16">
        <f t="shared" si="11"/>
        <v>167</v>
      </c>
      <c r="C180" s="16">
        <f t="shared" ca="1" si="13"/>
        <v>46.246581188600203</v>
      </c>
      <c r="D180" s="16">
        <f t="shared" ca="1" si="13"/>
        <v>37.123126842522282</v>
      </c>
      <c r="E180" s="16">
        <f t="shared" ca="1" si="13"/>
        <v>34.050026974289601</v>
      </c>
      <c r="F180" s="16">
        <f t="shared" ca="1" si="13"/>
        <v>40.940908642223874</v>
      </c>
      <c r="G180" s="16">
        <f t="shared" ca="1" si="13"/>
        <v>36.243072607477899</v>
      </c>
      <c r="H180" s="16">
        <f t="shared" ca="1" si="13"/>
        <v>26.793467132508198</v>
      </c>
      <c r="I180" s="16">
        <f t="shared" ca="1" si="13"/>
        <v>30.810010717612396</v>
      </c>
      <c r="J180" s="16">
        <f t="shared" ca="1" si="13"/>
        <v>21.283510785733206</v>
      </c>
      <c r="K180" s="16">
        <f t="shared" ca="1" si="13"/>
        <v>45.772196661271657</v>
      </c>
      <c r="L180" s="16">
        <f t="shared" ca="1" si="13"/>
        <v>26.783297515579314</v>
      </c>
    </row>
    <row r="181" spans="2:12" x14ac:dyDescent="0.3">
      <c r="B181" s="16">
        <f t="shared" si="11"/>
        <v>168</v>
      </c>
      <c r="C181" s="16">
        <f t="shared" ca="1" si="13"/>
        <v>47.303760239606618</v>
      </c>
      <c r="D181" s="16">
        <f t="shared" ca="1" si="13"/>
        <v>36.17002606301174</v>
      </c>
      <c r="E181" s="16">
        <f t="shared" ca="1" si="13"/>
        <v>35.328621321568662</v>
      </c>
      <c r="F181" s="16">
        <f t="shared" ca="1" si="13"/>
        <v>40.954279256287258</v>
      </c>
      <c r="G181" s="16">
        <f t="shared" ca="1" si="13"/>
        <v>36.336084400528904</v>
      </c>
      <c r="H181" s="16">
        <f t="shared" ca="1" si="13"/>
        <v>26.714911468902152</v>
      </c>
      <c r="I181" s="16">
        <f t="shared" ca="1" si="13"/>
        <v>30.33116435157514</v>
      </c>
      <c r="J181" s="16">
        <f t="shared" ca="1" si="13"/>
        <v>21.418326043405287</v>
      </c>
      <c r="K181" s="16">
        <f t="shared" ca="1" si="13"/>
        <v>45.742730824051506</v>
      </c>
      <c r="L181" s="16">
        <f t="shared" ca="1" si="13"/>
        <v>26.148360660020156</v>
      </c>
    </row>
    <row r="182" spans="2:12" x14ac:dyDescent="0.3">
      <c r="B182" s="16">
        <f t="shared" si="11"/>
        <v>169</v>
      </c>
      <c r="C182" s="16">
        <f t="shared" ca="1" si="13"/>
        <v>46.98587086090707</v>
      </c>
      <c r="D182" s="16">
        <f t="shared" ca="1" si="13"/>
        <v>37.031413892279907</v>
      </c>
      <c r="E182" s="16">
        <f t="shared" ca="1" si="13"/>
        <v>35.519379894038337</v>
      </c>
      <c r="F182" s="16">
        <f t="shared" ca="1" si="13"/>
        <v>40.905127814732211</v>
      </c>
      <c r="G182" s="16">
        <f t="shared" ca="1" si="13"/>
        <v>35.286487821322872</v>
      </c>
      <c r="H182" s="16">
        <f t="shared" ca="1" si="13"/>
        <v>26.312707852260726</v>
      </c>
      <c r="I182" s="16">
        <f t="shared" ca="1" si="13"/>
        <v>30.302671257886782</v>
      </c>
      <c r="J182" s="16">
        <f t="shared" ca="1" si="13"/>
        <v>21.843881587157995</v>
      </c>
      <c r="K182" s="16">
        <f t="shared" ca="1" si="13"/>
        <v>45.470335160214475</v>
      </c>
      <c r="L182" s="16">
        <f t="shared" ca="1" si="13"/>
        <v>25.448612910855374</v>
      </c>
    </row>
    <row r="183" spans="2:12" x14ac:dyDescent="0.3">
      <c r="B183" s="16">
        <f t="shared" si="11"/>
        <v>170</v>
      </c>
      <c r="C183" s="16">
        <f t="shared" ca="1" si="13"/>
        <v>46.758894234520184</v>
      </c>
      <c r="D183" s="16">
        <f t="shared" ca="1" si="13"/>
        <v>37.741074432750096</v>
      </c>
      <c r="E183" s="16">
        <f t="shared" ca="1" si="13"/>
        <v>33.789330505759693</v>
      </c>
      <c r="F183" s="16">
        <f t="shared" ca="1" si="13"/>
        <v>40.659619770495851</v>
      </c>
      <c r="G183" s="16">
        <f t="shared" ca="1" si="13"/>
        <v>35.602991738105509</v>
      </c>
      <c r="H183" s="16">
        <f t="shared" ca="1" si="13"/>
        <v>26.236324646657376</v>
      </c>
      <c r="I183" s="16">
        <f t="shared" ca="1" si="13"/>
        <v>30.69168985574586</v>
      </c>
      <c r="J183" s="16">
        <f t="shared" ca="1" si="13"/>
        <v>22.680210698024204</v>
      </c>
      <c r="K183" s="16">
        <f t="shared" ca="1" si="13"/>
        <v>46.29730179534603</v>
      </c>
      <c r="L183" s="16">
        <f t="shared" ca="1" si="13"/>
        <v>25.640056407557275</v>
      </c>
    </row>
    <row r="184" spans="2:12" x14ac:dyDescent="0.3">
      <c r="B184" s="16">
        <f t="shared" si="11"/>
        <v>171</v>
      </c>
      <c r="C184" s="16">
        <f t="shared" ca="1" si="13"/>
        <v>48.155605835872016</v>
      </c>
      <c r="D184" s="16">
        <f t="shared" ca="1" si="13"/>
        <v>39.104840825017853</v>
      </c>
      <c r="E184" s="16">
        <f t="shared" ca="1" si="13"/>
        <v>32.917170148113854</v>
      </c>
      <c r="F184" s="16">
        <f t="shared" ca="1" si="13"/>
        <v>41.26483042182295</v>
      </c>
      <c r="G184" s="16">
        <f t="shared" ca="1" si="13"/>
        <v>36.143323607949966</v>
      </c>
      <c r="H184" s="16">
        <f t="shared" ca="1" si="13"/>
        <v>26.597465016755955</v>
      </c>
      <c r="I184" s="16">
        <f t="shared" ca="1" si="13"/>
        <v>31.046281127492673</v>
      </c>
      <c r="J184" s="16">
        <f t="shared" ca="1" si="13"/>
        <v>22.931208250101356</v>
      </c>
      <c r="K184" s="16">
        <f t="shared" ca="1" si="13"/>
        <v>46.014174296562281</v>
      </c>
      <c r="L184" s="16">
        <f t="shared" ca="1" si="13"/>
        <v>25.287281640765563</v>
      </c>
    </row>
    <row r="185" spans="2:12" x14ac:dyDescent="0.3">
      <c r="B185" s="16">
        <f t="shared" si="11"/>
        <v>172</v>
      </c>
      <c r="C185" s="16">
        <f t="shared" ca="1" si="13"/>
        <v>48.590258256207527</v>
      </c>
      <c r="D185" s="16">
        <f t="shared" ca="1" si="13"/>
        <v>39.481570123217502</v>
      </c>
      <c r="E185" s="16">
        <f t="shared" ca="1" si="13"/>
        <v>32.34221454355275</v>
      </c>
      <c r="F185" s="16">
        <f t="shared" ca="1" si="13"/>
        <v>42.585809038601091</v>
      </c>
      <c r="G185" s="16">
        <f t="shared" ca="1" si="13"/>
        <v>36.778128836222763</v>
      </c>
      <c r="H185" s="16">
        <f t="shared" ca="1" si="13"/>
        <v>26.991114364487828</v>
      </c>
      <c r="I185" s="16">
        <f t="shared" ca="1" si="13"/>
        <v>30.335283950872689</v>
      </c>
      <c r="J185" s="16">
        <f t="shared" ca="1" si="13"/>
        <v>22.93188554545128</v>
      </c>
      <c r="K185" s="16">
        <f t="shared" ca="1" si="13"/>
        <v>45.264639338920119</v>
      </c>
      <c r="L185" s="16">
        <f t="shared" ca="1" si="13"/>
        <v>24.88360393080459</v>
      </c>
    </row>
    <row r="186" spans="2:12" x14ac:dyDescent="0.3">
      <c r="B186" s="16">
        <f t="shared" si="11"/>
        <v>173</v>
      </c>
      <c r="C186" s="16">
        <f t="shared" ca="1" si="13"/>
        <v>48.752618793328345</v>
      </c>
      <c r="D186" s="16">
        <f t="shared" ca="1" si="13"/>
        <v>39.513426642849304</v>
      </c>
      <c r="E186" s="16">
        <f t="shared" ca="1" si="13"/>
        <v>32.955388910269413</v>
      </c>
      <c r="F186" s="16">
        <f t="shared" ca="1" si="13"/>
        <v>43.462258102335724</v>
      </c>
      <c r="G186" s="16">
        <f t="shared" ca="1" si="13"/>
        <v>37.686999460962127</v>
      </c>
      <c r="H186" s="16">
        <f t="shared" ca="1" si="13"/>
        <v>26.940621099796751</v>
      </c>
      <c r="I186" s="16">
        <f t="shared" ca="1" si="13"/>
        <v>30.933989000674817</v>
      </c>
      <c r="J186" s="16">
        <f t="shared" ca="1" si="13"/>
        <v>23.550713937937456</v>
      </c>
      <c r="K186" s="16">
        <f t="shared" ca="1" si="13"/>
        <v>45.669342996488169</v>
      </c>
      <c r="L186" s="16">
        <f t="shared" ca="1" si="13"/>
        <v>25.035483530476</v>
      </c>
    </row>
    <row r="187" spans="2:12" x14ac:dyDescent="0.3">
      <c r="B187" s="16">
        <f t="shared" si="11"/>
        <v>174</v>
      </c>
      <c r="C187" s="16">
        <f t="shared" ca="1" si="13"/>
        <v>48.114986478952368</v>
      </c>
      <c r="D187" s="16">
        <f t="shared" ca="1" si="13"/>
        <v>38.084783430675905</v>
      </c>
      <c r="E187" s="16">
        <f t="shared" ca="1" si="13"/>
        <v>31.540825465275926</v>
      </c>
      <c r="F187" s="16">
        <f t="shared" ca="1" si="13"/>
        <v>44.234062145953501</v>
      </c>
      <c r="G187" s="16">
        <f t="shared" ca="1" si="13"/>
        <v>38.246994510279045</v>
      </c>
      <c r="H187" s="16">
        <f t="shared" ca="1" si="13"/>
        <v>27.151104421317093</v>
      </c>
      <c r="I187" s="16">
        <f t="shared" ca="1" si="13"/>
        <v>31.99900692737533</v>
      </c>
      <c r="J187" s="16">
        <f t="shared" ca="1" si="13"/>
        <v>23.794377357135051</v>
      </c>
      <c r="K187" s="16">
        <f t="shared" ca="1" si="13"/>
        <v>47.509027009173103</v>
      </c>
      <c r="L187" s="16">
        <f t="shared" ca="1" si="13"/>
        <v>25.038482595162613</v>
      </c>
    </row>
    <row r="188" spans="2:12" x14ac:dyDescent="0.3">
      <c r="B188" s="16">
        <f t="shared" si="11"/>
        <v>175</v>
      </c>
      <c r="C188" s="16">
        <f t="shared" ca="1" si="13"/>
        <v>47.366038367241217</v>
      </c>
      <c r="D188" s="16">
        <f t="shared" ca="1" si="13"/>
        <v>37.821947570383045</v>
      </c>
      <c r="E188" s="16">
        <f t="shared" ca="1" si="13"/>
        <v>31.648612945617597</v>
      </c>
      <c r="F188" s="16">
        <f t="shared" ca="1" si="13"/>
        <v>43.975723576681027</v>
      </c>
      <c r="G188" s="16">
        <f t="shared" ca="1" si="13"/>
        <v>38.306885842509402</v>
      </c>
      <c r="H188" s="16">
        <f t="shared" ca="1" si="13"/>
        <v>28.034419788733025</v>
      </c>
      <c r="I188" s="16">
        <f t="shared" ca="1" si="13"/>
        <v>31.556394548728967</v>
      </c>
      <c r="J188" s="16">
        <f t="shared" ca="1" si="13"/>
        <v>23.484640094902613</v>
      </c>
      <c r="K188" s="16">
        <f t="shared" ca="1" si="13"/>
        <v>48.051500704586857</v>
      </c>
      <c r="L188" s="16">
        <f t="shared" ca="1" si="13"/>
        <v>25.421782275261567</v>
      </c>
    </row>
    <row r="189" spans="2:12" x14ac:dyDescent="0.3">
      <c r="B189" s="16">
        <f t="shared" si="11"/>
        <v>176</v>
      </c>
      <c r="C189" s="16">
        <f t="shared" ca="1" si="13"/>
        <v>45.894304109977355</v>
      </c>
      <c r="D189" s="16">
        <f t="shared" ca="1" si="13"/>
        <v>37.523782775348636</v>
      </c>
      <c r="E189" s="16">
        <f t="shared" ca="1" si="13"/>
        <v>31.183612410097179</v>
      </c>
      <c r="F189" s="16">
        <f t="shared" ca="1" si="13"/>
        <v>43.256206461552715</v>
      </c>
      <c r="G189" s="16">
        <f t="shared" ca="1" si="13"/>
        <v>37.252603737700859</v>
      </c>
      <c r="H189" s="16">
        <f t="shared" ca="1" si="13"/>
        <v>28.180454270393909</v>
      </c>
      <c r="I189" s="16">
        <f t="shared" ca="1" si="13"/>
        <v>31.581663750055142</v>
      </c>
      <c r="J189" s="16">
        <f t="shared" ca="1" si="13"/>
        <v>23.844004853133253</v>
      </c>
      <c r="K189" s="16">
        <f t="shared" ca="1" si="13"/>
        <v>47.608724165482421</v>
      </c>
      <c r="L189" s="16">
        <f t="shared" ca="1" si="13"/>
        <v>25.420929759677847</v>
      </c>
    </row>
    <row r="190" spans="2:12" x14ac:dyDescent="0.3">
      <c r="B190" s="16">
        <f t="shared" si="11"/>
        <v>177</v>
      </c>
      <c r="C190" s="16">
        <f t="shared" ref="C190:L205" ca="1" si="14">C189*EXP(($E$5-0.5*$E$6*$E$6)*$E$7+$E$6*SQRT($E$7)*_xlfn.NORM.S.INV(RAND()))</f>
        <v>46.149517059604293</v>
      </c>
      <c r="D190" s="16">
        <f t="shared" ca="1" si="14"/>
        <v>37.086200836290303</v>
      </c>
      <c r="E190" s="16">
        <f t="shared" ca="1" si="14"/>
        <v>30.796807879919694</v>
      </c>
      <c r="F190" s="16">
        <f t="shared" ca="1" si="14"/>
        <v>43.556301966056829</v>
      </c>
      <c r="G190" s="16">
        <f t="shared" ca="1" si="14"/>
        <v>37.067789251795467</v>
      </c>
      <c r="H190" s="16">
        <f t="shared" ca="1" si="14"/>
        <v>28.551245446039005</v>
      </c>
      <c r="I190" s="16">
        <f t="shared" ca="1" si="14"/>
        <v>31.855452687366906</v>
      </c>
      <c r="J190" s="16">
        <f t="shared" ca="1" si="14"/>
        <v>24.124987051813811</v>
      </c>
      <c r="K190" s="16">
        <f t="shared" ca="1" si="14"/>
        <v>46.031079840805837</v>
      </c>
      <c r="L190" s="16">
        <f t="shared" ca="1" si="14"/>
        <v>24.781006302167089</v>
      </c>
    </row>
    <row r="191" spans="2:12" x14ac:dyDescent="0.3">
      <c r="B191" s="16">
        <f t="shared" si="11"/>
        <v>178</v>
      </c>
      <c r="C191" s="16">
        <f t="shared" ca="1" si="14"/>
        <v>47.365612897595007</v>
      </c>
      <c r="D191" s="16">
        <f t="shared" ca="1" si="14"/>
        <v>36.83166035664965</v>
      </c>
      <c r="E191" s="16">
        <f t="shared" ca="1" si="14"/>
        <v>30.891007881780453</v>
      </c>
      <c r="F191" s="16">
        <f t="shared" ca="1" si="14"/>
        <v>43.883285680172492</v>
      </c>
      <c r="G191" s="16">
        <f t="shared" ca="1" si="14"/>
        <v>36.683427570501628</v>
      </c>
      <c r="H191" s="16">
        <f t="shared" ca="1" si="14"/>
        <v>28.982740709779346</v>
      </c>
      <c r="I191" s="16">
        <f t="shared" ca="1" si="14"/>
        <v>31.281841560230653</v>
      </c>
      <c r="J191" s="16">
        <f t="shared" ca="1" si="14"/>
        <v>23.917244891802845</v>
      </c>
      <c r="K191" s="16">
        <f t="shared" ca="1" si="14"/>
        <v>44.9839480044322</v>
      </c>
      <c r="L191" s="16">
        <f t="shared" ca="1" si="14"/>
        <v>24.546187176527706</v>
      </c>
    </row>
    <row r="192" spans="2:12" x14ac:dyDescent="0.3">
      <c r="B192" s="16">
        <f t="shared" si="11"/>
        <v>179</v>
      </c>
      <c r="C192" s="16">
        <f t="shared" ca="1" si="14"/>
        <v>48.159925931260645</v>
      </c>
      <c r="D192" s="16">
        <f t="shared" ca="1" si="14"/>
        <v>36.038852583573927</v>
      </c>
      <c r="E192" s="16">
        <f t="shared" ca="1" si="14"/>
        <v>31.045401354076294</v>
      </c>
      <c r="F192" s="16">
        <f t="shared" ca="1" si="14"/>
        <v>43.108425737169696</v>
      </c>
      <c r="G192" s="16">
        <f t="shared" ca="1" si="14"/>
        <v>35.274145725529699</v>
      </c>
      <c r="H192" s="16">
        <f t="shared" ca="1" si="14"/>
        <v>29.762685066011286</v>
      </c>
      <c r="I192" s="16">
        <f t="shared" ca="1" si="14"/>
        <v>32.58725222911346</v>
      </c>
      <c r="J192" s="16">
        <f t="shared" ca="1" si="14"/>
        <v>23.870462431973845</v>
      </c>
      <c r="K192" s="16">
        <f t="shared" ca="1" si="14"/>
        <v>44.075096255135996</v>
      </c>
      <c r="L192" s="16">
        <f t="shared" ca="1" si="14"/>
        <v>25.958189990644058</v>
      </c>
    </row>
    <row r="193" spans="2:12" x14ac:dyDescent="0.3">
      <c r="B193" s="16">
        <f t="shared" si="11"/>
        <v>180</v>
      </c>
      <c r="C193" s="16">
        <f t="shared" ca="1" si="14"/>
        <v>48.321383559988995</v>
      </c>
      <c r="D193" s="16">
        <f t="shared" ca="1" si="14"/>
        <v>36.173878874381295</v>
      </c>
      <c r="E193" s="16">
        <f t="shared" ca="1" si="14"/>
        <v>31.994047284008868</v>
      </c>
      <c r="F193" s="16">
        <f t="shared" ca="1" si="14"/>
        <v>43.048567295965086</v>
      </c>
      <c r="G193" s="16">
        <f t="shared" ca="1" si="14"/>
        <v>35.987205715349276</v>
      </c>
      <c r="H193" s="16">
        <f t="shared" ca="1" si="14"/>
        <v>29.899267928766168</v>
      </c>
      <c r="I193" s="16">
        <f t="shared" ca="1" si="14"/>
        <v>32.533459733266653</v>
      </c>
      <c r="J193" s="16">
        <f t="shared" ca="1" si="14"/>
        <v>23.408235341316715</v>
      </c>
      <c r="K193" s="16">
        <f t="shared" ca="1" si="14"/>
        <v>43.210317173813074</v>
      </c>
      <c r="L193" s="16">
        <f t="shared" ca="1" si="14"/>
        <v>26.615712696281481</v>
      </c>
    </row>
    <row r="194" spans="2:12" x14ac:dyDescent="0.3">
      <c r="B194" s="16">
        <f t="shared" si="11"/>
        <v>181</v>
      </c>
      <c r="C194" s="16">
        <f t="shared" ca="1" si="14"/>
        <v>46.842182639113709</v>
      </c>
      <c r="D194" s="16">
        <f t="shared" ca="1" si="14"/>
        <v>35.265313081888138</v>
      </c>
      <c r="E194" s="16">
        <f t="shared" ca="1" si="14"/>
        <v>32.072885809902779</v>
      </c>
      <c r="F194" s="16">
        <f t="shared" ca="1" si="14"/>
        <v>42.449222545730045</v>
      </c>
      <c r="G194" s="16">
        <f t="shared" ca="1" si="14"/>
        <v>35.830015772462296</v>
      </c>
      <c r="H194" s="16">
        <f t="shared" ca="1" si="14"/>
        <v>29.674446707017456</v>
      </c>
      <c r="I194" s="16">
        <f t="shared" ca="1" si="14"/>
        <v>32.426894367314056</v>
      </c>
      <c r="J194" s="16">
        <f t="shared" ca="1" si="14"/>
        <v>23.180482507479219</v>
      </c>
      <c r="K194" s="16">
        <f t="shared" ca="1" si="14"/>
        <v>43.702261652796551</v>
      </c>
      <c r="L194" s="16">
        <f t="shared" ca="1" si="14"/>
        <v>26.498540804553354</v>
      </c>
    </row>
    <row r="195" spans="2:12" x14ac:dyDescent="0.3">
      <c r="B195" s="16">
        <f t="shared" si="11"/>
        <v>182</v>
      </c>
      <c r="C195" s="16">
        <f t="shared" ca="1" si="14"/>
        <v>47.366413559694827</v>
      </c>
      <c r="D195" s="16">
        <f t="shared" ca="1" si="14"/>
        <v>34.305696169655086</v>
      </c>
      <c r="E195" s="16">
        <f t="shared" ca="1" si="14"/>
        <v>31.479444388519514</v>
      </c>
      <c r="F195" s="16">
        <f t="shared" ca="1" si="14"/>
        <v>41.377823802108743</v>
      </c>
      <c r="G195" s="16">
        <f t="shared" ca="1" si="14"/>
        <v>36.106991873174451</v>
      </c>
      <c r="H195" s="16">
        <f t="shared" ca="1" si="14"/>
        <v>30.027501506677478</v>
      </c>
      <c r="I195" s="16">
        <f t="shared" ca="1" si="14"/>
        <v>31.927779157313594</v>
      </c>
      <c r="J195" s="16">
        <f t="shared" ca="1" si="14"/>
        <v>23.564360942212026</v>
      </c>
      <c r="K195" s="16">
        <f t="shared" ca="1" si="14"/>
        <v>43.457043692122589</v>
      </c>
      <c r="L195" s="16">
        <f t="shared" ca="1" si="14"/>
        <v>26.10313318631227</v>
      </c>
    </row>
    <row r="196" spans="2:12" x14ac:dyDescent="0.3">
      <c r="B196" s="16">
        <f t="shared" si="11"/>
        <v>183</v>
      </c>
      <c r="C196" s="16">
        <f t="shared" ca="1" si="14"/>
        <v>47.699433100587704</v>
      </c>
      <c r="D196" s="16">
        <f t="shared" ca="1" si="14"/>
        <v>34.127190589895022</v>
      </c>
      <c r="E196" s="16">
        <f t="shared" ca="1" si="14"/>
        <v>31.348514757513918</v>
      </c>
      <c r="F196" s="16">
        <f t="shared" ca="1" si="14"/>
        <v>41.877533493361554</v>
      </c>
      <c r="G196" s="16">
        <f t="shared" ca="1" si="14"/>
        <v>35.791989504720227</v>
      </c>
      <c r="H196" s="16">
        <f t="shared" ca="1" si="14"/>
        <v>30.668760062260002</v>
      </c>
      <c r="I196" s="16">
        <f t="shared" ca="1" si="14"/>
        <v>31.017951474638004</v>
      </c>
      <c r="J196" s="16">
        <f t="shared" ca="1" si="14"/>
        <v>23.356181323272377</v>
      </c>
      <c r="K196" s="16">
        <f t="shared" ca="1" si="14"/>
        <v>44.320765165790469</v>
      </c>
      <c r="L196" s="16">
        <f t="shared" ca="1" si="14"/>
        <v>26.564416442733581</v>
      </c>
    </row>
    <row r="197" spans="2:12" x14ac:dyDescent="0.3">
      <c r="B197" s="16">
        <f t="shared" si="11"/>
        <v>184</v>
      </c>
      <c r="C197" s="16">
        <f t="shared" ca="1" si="14"/>
        <v>49.166661351359117</v>
      </c>
      <c r="D197" s="16">
        <f t="shared" ca="1" si="14"/>
        <v>34.712796718403389</v>
      </c>
      <c r="E197" s="16">
        <f t="shared" ca="1" si="14"/>
        <v>30.551134564945304</v>
      </c>
      <c r="F197" s="16">
        <f t="shared" ca="1" si="14"/>
        <v>42.485392665389845</v>
      </c>
      <c r="G197" s="16">
        <f t="shared" ca="1" si="14"/>
        <v>35.987120828630971</v>
      </c>
      <c r="H197" s="16">
        <f t="shared" ca="1" si="14"/>
        <v>30.033546320549878</v>
      </c>
      <c r="I197" s="16">
        <f t="shared" ca="1" si="14"/>
        <v>30.686447456813454</v>
      </c>
      <c r="J197" s="16">
        <f t="shared" ca="1" si="14"/>
        <v>23.835457432710999</v>
      </c>
      <c r="K197" s="16">
        <f t="shared" ca="1" si="14"/>
        <v>43.467377190916068</v>
      </c>
      <c r="L197" s="16">
        <f t="shared" ca="1" si="14"/>
        <v>26.986689966419412</v>
      </c>
    </row>
    <row r="198" spans="2:12" x14ac:dyDescent="0.3">
      <c r="B198" s="16">
        <f t="shared" si="11"/>
        <v>185</v>
      </c>
      <c r="C198" s="16">
        <f t="shared" ca="1" si="14"/>
        <v>48.943946922785031</v>
      </c>
      <c r="D198" s="16">
        <f t="shared" ca="1" si="14"/>
        <v>34.109618339726481</v>
      </c>
      <c r="E198" s="16">
        <f t="shared" ca="1" si="14"/>
        <v>30.119120763822277</v>
      </c>
      <c r="F198" s="16">
        <f t="shared" ca="1" si="14"/>
        <v>42.582599253823375</v>
      </c>
      <c r="G198" s="16">
        <f t="shared" ca="1" si="14"/>
        <v>36.628801417631017</v>
      </c>
      <c r="H198" s="16">
        <f t="shared" ca="1" si="14"/>
        <v>29.737472079170349</v>
      </c>
      <c r="I198" s="16">
        <f t="shared" ca="1" si="14"/>
        <v>30.942922537660383</v>
      </c>
      <c r="J198" s="16">
        <f t="shared" ca="1" si="14"/>
        <v>23.627138342941983</v>
      </c>
      <c r="K198" s="16">
        <f t="shared" ca="1" si="14"/>
        <v>43.458751014627147</v>
      </c>
      <c r="L198" s="16">
        <f t="shared" ca="1" si="14"/>
        <v>26.661631258418193</v>
      </c>
    </row>
    <row r="199" spans="2:12" x14ac:dyDescent="0.3">
      <c r="B199" s="16">
        <f t="shared" si="11"/>
        <v>186</v>
      </c>
      <c r="C199" s="16">
        <f t="shared" ca="1" si="14"/>
        <v>49.561546743782728</v>
      </c>
      <c r="D199" s="16">
        <f t="shared" ca="1" si="14"/>
        <v>34.943798889048544</v>
      </c>
      <c r="E199" s="16">
        <f t="shared" ca="1" si="14"/>
        <v>29.858659604845137</v>
      </c>
      <c r="F199" s="16">
        <f t="shared" ca="1" si="14"/>
        <v>42.736604969432079</v>
      </c>
      <c r="G199" s="16">
        <f t="shared" ca="1" si="14"/>
        <v>36.936044977615843</v>
      </c>
      <c r="H199" s="16">
        <f t="shared" ca="1" si="14"/>
        <v>30.795139859262857</v>
      </c>
      <c r="I199" s="16">
        <f t="shared" ca="1" si="14"/>
        <v>31.208518262171705</v>
      </c>
      <c r="J199" s="16">
        <f t="shared" ca="1" si="14"/>
        <v>23.732706763036632</v>
      </c>
      <c r="K199" s="16">
        <f t="shared" ca="1" si="14"/>
        <v>43.904080390436924</v>
      </c>
      <c r="L199" s="16">
        <f t="shared" ca="1" si="14"/>
        <v>27.196015629811257</v>
      </c>
    </row>
    <row r="200" spans="2:12" x14ac:dyDescent="0.3">
      <c r="B200" s="16">
        <f t="shared" si="11"/>
        <v>187</v>
      </c>
      <c r="C200" s="16">
        <f t="shared" ca="1" si="14"/>
        <v>47.064398623146033</v>
      </c>
      <c r="D200" s="16">
        <f t="shared" ca="1" si="14"/>
        <v>34.12536406743336</v>
      </c>
      <c r="E200" s="16">
        <f t="shared" ca="1" si="14"/>
        <v>29.855277766683404</v>
      </c>
      <c r="F200" s="16">
        <f t="shared" ca="1" si="14"/>
        <v>42.733999542194162</v>
      </c>
      <c r="G200" s="16">
        <f t="shared" ca="1" si="14"/>
        <v>37.420674478587337</v>
      </c>
      <c r="H200" s="16">
        <f t="shared" ca="1" si="14"/>
        <v>30.347883732729855</v>
      </c>
      <c r="I200" s="16">
        <f t="shared" ca="1" si="14"/>
        <v>31.65110918930235</v>
      </c>
      <c r="J200" s="16">
        <f t="shared" ca="1" si="14"/>
        <v>23.350407942762935</v>
      </c>
      <c r="K200" s="16">
        <f t="shared" ca="1" si="14"/>
        <v>44.757281754539903</v>
      </c>
      <c r="L200" s="16">
        <f t="shared" ca="1" si="14"/>
        <v>27.167963871131462</v>
      </c>
    </row>
    <row r="201" spans="2:12" x14ac:dyDescent="0.3">
      <c r="B201" s="16">
        <f t="shared" si="11"/>
        <v>188</v>
      </c>
      <c r="C201" s="16">
        <f t="shared" ca="1" si="14"/>
        <v>46.948077340462874</v>
      </c>
      <c r="D201" s="16">
        <f t="shared" ca="1" si="14"/>
        <v>34.062726396100707</v>
      </c>
      <c r="E201" s="16">
        <f t="shared" ca="1" si="14"/>
        <v>29.545243405506476</v>
      </c>
      <c r="F201" s="16">
        <f t="shared" ca="1" si="14"/>
        <v>42.072244910016714</v>
      </c>
      <c r="G201" s="16">
        <f t="shared" ca="1" si="14"/>
        <v>35.793841126380251</v>
      </c>
      <c r="H201" s="16">
        <f t="shared" ca="1" si="14"/>
        <v>29.995311310311997</v>
      </c>
      <c r="I201" s="16">
        <f t="shared" ca="1" si="14"/>
        <v>31.903640549117775</v>
      </c>
      <c r="J201" s="16">
        <f t="shared" ca="1" si="14"/>
        <v>23.621388358176098</v>
      </c>
      <c r="K201" s="16">
        <f t="shared" ca="1" si="14"/>
        <v>43.919030301939237</v>
      </c>
      <c r="L201" s="16">
        <f t="shared" ca="1" si="14"/>
        <v>26.972522401336935</v>
      </c>
    </row>
    <row r="202" spans="2:12" x14ac:dyDescent="0.3">
      <c r="B202" s="16">
        <f t="shared" si="11"/>
        <v>189</v>
      </c>
      <c r="C202" s="16">
        <f t="shared" ca="1" si="14"/>
        <v>46.935491966975412</v>
      </c>
      <c r="D202" s="16">
        <f t="shared" ca="1" si="14"/>
        <v>33.976006425395127</v>
      </c>
      <c r="E202" s="16">
        <f t="shared" ca="1" si="14"/>
        <v>30.673943009143585</v>
      </c>
      <c r="F202" s="16">
        <f t="shared" ca="1" si="14"/>
        <v>40.843321321703165</v>
      </c>
      <c r="G202" s="16">
        <f t="shared" ca="1" si="14"/>
        <v>35.749098553201748</v>
      </c>
      <c r="H202" s="16">
        <f t="shared" ca="1" si="14"/>
        <v>30.114560011998908</v>
      </c>
      <c r="I202" s="16">
        <f t="shared" ca="1" si="14"/>
        <v>31.521006302032909</v>
      </c>
      <c r="J202" s="16">
        <f t="shared" ca="1" si="14"/>
        <v>23.881505040984287</v>
      </c>
      <c r="K202" s="16">
        <f t="shared" ca="1" si="14"/>
        <v>43.792039004461017</v>
      </c>
      <c r="L202" s="16">
        <f t="shared" ca="1" si="14"/>
        <v>28.015985344919475</v>
      </c>
    </row>
    <row r="203" spans="2:12" x14ac:dyDescent="0.3">
      <c r="B203" s="16">
        <f t="shared" si="11"/>
        <v>190</v>
      </c>
      <c r="C203" s="16">
        <f t="shared" ca="1" si="14"/>
        <v>47.48519075327895</v>
      </c>
      <c r="D203" s="16">
        <f t="shared" ca="1" si="14"/>
        <v>34.11220454513213</v>
      </c>
      <c r="E203" s="16">
        <f t="shared" ca="1" si="14"/>
        <v>30.904019380511492</v>
      </c>
      <c r="F203" s="16">
        <f t="shared" ca="1" si="14"/>
        <v>41.619645389062306</v>
      </c>
      <c r="G203" s="16">
        <f t="shared" ca="1" si="14"/>
        <v>35.320360177037379</v>
      </c>
      <c r="H203" s="16">
        <f t="shared" ca="1" si="14"/>
        <v>29.734937712411771</v>
      </c>
      <c r="I203" s="16">
        <f t="shared" ca="1" si="14"/>
        <v>31.832311352405192</v>
      </c>
      <c r="J203" s="16">
        <f t="shared" ca="1" si="14"/>
        <v>23.969865777295976</v>
      </c>
      <c r="K203" s="16">
        <f t="shared" ca="1" si="14"/>
        <v>43.705579473615948</v>
      </c>
      <c r="L203" s="16">
        <f t="shared" ca="1" si="14"/>
        <v>27.310580467019463</v>
      </c>
    </row>
    <row r="204" spans="2:12" x14ac:dyDescent="0.3">
      <c r="B204" s="16">
        <f t="shared" si="11"/>
        <v>191</v>
      </c>
      <c r="C204" s="16">
        <f t="shared" ca="1" si="14"/>
        <v>49.129868409303619</v>
      </c>
      <c r="D204" s="16">
        <f t="shared" ca="1" si="14"/>
        <v>34.17545151413416</v>
      </c>
      <c r="E204" s="16">
        <f t="shared" ca="1" si="14"/>
        <v>30.710319144919048</v>
      </c>
      <c r="F204" s="16">
        <f t="shared" ca="1" si="14"/>
        <v>42.239829972821461</v>
      </c>
      <c r="G204" s="16">
        <f t="shared" ca="1" si="14"/>
        <v>36.324787987050627</v>
      </c>
      <c r="H204" s="16">
        <f t="shared" ca="1" si="14"/>
        <v>30.502656152429598</v>
      </c>
      <c r="I204" s="16">
        <f t="shared" ca="1" si="14"/>
        <v>31.550530625726282</v>
      </c>
      <c r="J204" s="16">
        <f t="shared" ca="1" si="14"/>
        <v>24.5638528830277</v>
      </c>
      <c r="K204" s="16">
        <f t="shared" ca="1" si="14"/>
        <v>43.939760659201362</v>
      </c>
      <c r="L204" s="16">
        <f t="shared" ca="1" si="14"/>
        <v>28.02228862059739</v>
      </c>
    </row>
    <row r="205" spans="2:12" x14ac:dyDescent="0.3">
      <c r="B205" s="16">
        <f t="shared" si="11"/>
        <v>192</v>
      </c>
      <c r="C205" s="16">
        <f t="shared" ca="1" si="14"/>
        <v>47.754392755795408</v>
      </c>
      <c r="D205" s="16">
        <f t="shared" ca="1" si="14"/>
        <v>33.755524644209558</v>
      </c>
      <c r="E205" s="16">
        <f t="shared" ca="1" si="14"/>
        <v>30.639553152600872</v>
      </c>
      <c r="F205" s="16">
        <f t="shared" ca="1" si="14"/>
        <v>42.398948006575999</v>
      </c>
      <c r="G205" s="16">
        <f t="shared" ca="1" si="14"/>
        <v>36.942414141226948</v>
      </c>
      <c r="H205" s="16">
        <f t="shared" ca="1" si="14"/>
        <v>31.341018686225937</v>
      </c>
      <c r="I205" s="16">
        <f t="shared" ca="1" si="14"/>
        <v>32.069532319891529</v>
      </c>
      <c r="J205" s="16">
        <f t="shared" ca="1" si="14"/>
        <v>24.68646045889156</v>
      </c>
      <c r="K205" s="16">
        <f t="shared" ca="1" si="14"/>
        <v>45.419647484685527</v>
      </c>
      <c r="L205" s="16">
        <f t="shared" ca="1" si="14"/>
        <v>27.5930114139667</v>
      </c>
    </row>
    <row r="206" spans="2:12" x14ac:dyDescent="0.3">
      <c r="B206" s="16">
        <f t="shared" si="11"/>
        <v>193</v>
      </c>
      <c r="C206" s="16">
        <f t="shared" ref="C206:L221" ca="1" si="15">C205*EXP(($E$5-0.5*$E$6*$E$6)*$E$7+$E$6*SQRT($E$7)*_xlfn.NORM.S.INV(RAND()))</f>
        <v>46.861811280588611</v>
      </c>
      <c r="D206" s="16">
        <f t="shared" ca="1" si="15"/>
        <v>33.26648746490752</v>
      </c>
      <c r="E206" s="16">
        <f t="shared" ca="1" si="15"/>
        <v>30.282812035002593</v>
      </c>
      <c r="F206" s="16">
        <f t="shared" ca="1" si="15"/>
        <v>40.993877152447226</v>
      </c>
      <c r="G206" s="16">
        <f t="shared" ca="1" si="15"/>
        <v>37.361906900431215</v>
      </c>
      <c r="H206" s="16">
        <f t="shared" ca="1" si="15"/>
        <v>30.879934559837345</v>
      </c>
      <c r="I206" s="16">
        <f t="shared" ca="1" si="15"/>
        <v>32.424115328876162</v>
      </c>
      <c r="J206" s="16">
        <f t="shared" ca="1" si="15"/>
        <v>24.520178231786744</v>
      </c>
      <c r="K206" s="16">
        <f t="shared" ca="1" si="15"/>
        <v>45.100715766958238</v>
      </c>
      <c r="L206" s="16">
        <f t="shared" ca="1" si="15"/>
        <v>27.583821246202845</v>
      </c>
    </row>
    <row r="207" spans="2:12" x14ac:dyDescent="0.3">
      <c r="B207" s="16">
        <f t="shared" ref="B207:B255" si="16">B206+1</f>
        <v>194</v>
      </c>
      <c r="C207" s="16">
        <f t="shared" ca="1" si="15"/>
        <v>48.711942042636629</v>
      </c>
      <c r="D207" s="16">
        <f t="shared" ca="1" si="15"/>
        <v>33.063325790949087</v>
      </c>
      <c r="E207" s="16">
        <f t="shared" ca="1" si="15"/>
        <v>30.470142494492269</v>
      </c>
      <c r="F207" s="16">
        <f t="shared" ca="1" si="15"/>
        <v>39.862344361557035</v>
      </c>
      <c r="G207" s="16">
        <f t="shared" ca="1" si="15"/>
        <v>37.797342044571955</v>
      </c>
      <c r="H207" s="16">
        <f t="shared" ca="1" si="15"/>
        <v>31.21929431303721</v>
      </c>
      <c r="I207" s="16">
        <f t="shared" ca="1" si="15"/>
        <v>32.26067402462985</v>
      </c>
      <c r="J207" s="16">
        <f t="shared" ca="1" si="15"/>
        <v>23.803771135658746</v>
      </c>
      <c r="K207" s="16">
        <f t="shared" ca="1" si="15"/>
        <v>43.897042281130503</v>
      </c>
      <c r="L207" s="16">
        <f t="shared" ca="1" si="15"/>
        <v>28.026909830309258</v>
      </c>
    </row>
    <row r="208" spans="2:12" x14ac:dyDescent="0.3">
      <c r="B208" s="16">
        <f t="shared" si="16"/>
        <v>195</v>
      </c>
      <c r="C208" s="16">
        <f t="shared" ca="1" si="15"/>
        <v>49.16149821003426</v>
      </c>
      <c r="D208" s="16">
        <f t="shared" ca="1" si="15"/>
        <v>33.28878745450897</v>
      </c>
      <c r="E208" s="16">
        <f t="shared" ca="1" si="15"/>
        <v>30.315047441262841</v>
      </c>
      <c r="F208" s="16">
        <f t="shared" ca="1" si="15"/>
        <v>40.897787958161615</v>
      </c>
      <c r="G208" s="16">
        <f t="shared" ca="1" si="15"/>
        <v>39.510516948055503</v>
      </c>
      <c r="H208" s="16">
        <f t="shared" ca="1" si="15"/>
        <v>31.394910892765765</v>
      </c>
      <c r="I208" s="16">
        <f t="shared" ca="1" si="15"/>
        <v>32.521429562840027</v>
      </c>
      <c r="J208" s="16">
        <f t="shared" ca="1" si="15"/>
        <v>23.400449386548427</v>
      </c>
      <c r="K208" s="16">
        <f t="shared" ca="1" si="15"/>
        <v>44.100215655852502</v>
      </c>
      <c r="L208" s="16">
        <f t="shared" ca="1" si="15"/>
        <v>28.061577545301599</v>
      </c>
    </row>
    <row r="209" spans="2:12" x14ac:dyDescent="0.3">
      <c r="B209" s="16">
        <f t="shared" si="16"/>
        <v>196</v>
      </c>
      <c r="C209" s="16">
        <f t="shared" ca="1" si="15"/>
        <v>49.479483217329445</v>
      </c>
      <c r="D209" s="16">
        <f t="shared" ca="1" si="15"/>
        <v>31.916336663851659</v>
      </c>
      <c r="E209" s="16">
        <f t="shared" ca="1" si="15"/>
        <v>30.868112749566123</v>
      </c>
      <c r="F209" s="16">
        <f t="shared" ca="1" si="15"/>
        <v>40.685985917030145</v>
      </c>
      <c r="G209" s="16">
        <f t="shared" ca="1" si="15"/>
        <v>39.090171717070739</v>
      </c>
      <c r="H209" s="16">
        <f t="shared" ca="1" si="15"/>
        <v>30.940761941580284</v>
      </c>
      <c r="I209" s="16">
        <f t="shared" ca="1" si="15"/>
        <v>32.525137340903186</v>
      </c>
      <c r="J209" s="16">
        <f t="shared" ca="1" si="15"/>
        <v>23.362537829805042</v>
      </c>
      <c r="K209" s="16">
        <f t="shared" ca="1" si="15"/>
        <v>43.820427333341954</v>
      </c>
      <c r="L209" s="16">
        <f t="shared" ca="1" si="15"/>
        <v>27.489675951214281</v>
      </c>
    </row>
    <row r="210" spans="2:12" x14ac:dyDescent="0.3">
      <c r="B210" s="16">
        <f t="shared" si="16"/>
        <v>197</v>
      </c>
      <c r="C210" s="16">
        <f t="shared" ca="1" si="15"/>
        <v>49.333131360411265</v>
      </c>
      <c r="D210" s="16">
        <f t="shared" ca="1" si="15"/>
        <v>32.156970898304643</v>
      </c>
      <c r="E210" s="16">
        <f t="shared" ca="1" si="15"/>
        <v>30.634385537406782</v>
      </c>
      <c r="F210" s="16">
        <f t="shared" ca="1" si="15"/>
        <v>40.935491005911061</v>
      </c>
      <c r="G210" s="16">
        <f t="shared" ca="1" si="15"/>
        <v>39.081298222065399</v>
      </c>
      <c r="H210" s="16">
        <f t="shared" ca="1" si="15"/>
        <v>31.72794704431211</v>
      </c>
      <c r="I210" s="16">
        <f t="shared" ca="1" si="15"/>
        <v>32.310065160807547</v>
      </c>
      <c r="J210" s="16">
        <f t="shared" ca="1" si="15"/>
        <v>23.548407490368923</v>
      </c>
      <c r="K210" s="16">
        <f t="shared" ca="1" si="15"/>
        <v>44.946366176638719</v>
      </c>
      <c r="L210" s="16">
        <f t="shared" ca="1" si="15"/>
        <v>26.64190230071754</v>
      </c>
    </row>
    <row r="211" spans="2:12" x14ac:dyDescent="0.3">
      <c r="B211" s="16">
        <f t="shared" si="16"/>
        <v>198</v>
      </c>
      <c r="C211" s="16">
        <f t="shared" ca="1" si="15"/>
        <v>49.322669971590962</v>
      </c>
      <c r="D211" s="16">
        <f t="shared" ca="1" si="15"/>
        <v>32.756453411123942</v>
      </c>
      <c r="E211" s="16">
        <f t="shared" ca="1" si="15"/>
        <v>30.54883031686477</v>
      </c>
      <c r="F211" s="16">
        <f t="shared" ca="1" si="15"/>
        <v>41.137622031995278</v>
      </c>
      <c r="G211" s="16">
        <f t="shared" ca="1" si="15"/>
        <v>38.860409974233427</v>
      </c>
      <c r="H211" s="16">
        <f t="shared" ca="1" si="15"/>
        <v>31.597616396766988</v>
      </c>
      <c r="I211" s="16">
        <f t="shared" ca="1" si="15"/>
        <v>33.266755755514133</v>
      </c>
      <c r="J211" s="16">
        <f t="shared" ca="1" si="15"/>
        <v>23.574456094091946</v>
      </c>
      <c r="K211" s="16">
        <f t="shared" ca="1" si="15"/>
        <v>43.691598031409974</v>
      </c>
      <c r="L211" s="16">
        <f t="shared" ca="1" si="15"/>
        <v>25.483512046221637</v>
      </c>
    </row>
    <row r="212" spans="2:12" x14ac:dyDescent="0.3">
      <c r="B212" s="16">
        <f t="shared" si="16"/>
        <v>199</v>
      </c>
      <c r="C212" s="16">
        <f t="shared" ca="1" si="15"/>
        <v>49.365696134024169</v>
      </c>
      <c r="D212" s="16">
        <f t="shared" ca="1" si="15"/>
        <v>31.540944877478996</v>
      </c>
      <c r="E212" s="16">
        <f t="shared" ca="1" si="15"/>
        <v>31.282476515467383</v>
      </c>
      <c r="F212" s="16">
        <f t="shared" ca="1" si="15"/>
        <v>41.568829878771133</v>
      </c>
      <c r="G212" s="16">
        <f t="shared" ca="1" si="15"/>
        <v>39.605816768258236</v>
      </c>
      <c r="H212" s="16">
        <f t="shared" ca="1" si="15"/>
        <v>30.796608303295791</v>
      </c>
      <c r="I212" s="16">
        <f t="shared" ca="1" si="15"/>
        <v>33.319311001517278</v>
      </c>
      <c r="J212" s="16">
        <f t="shared" ca="1" si="15"/>
        <v>23.819485477715972</v>
      </c>
      <c r="K212" s="16">
        <f t="shared" ca="1" si="15"/>
        <v>43.098490955774274</v>
      </c>
      <c r="L212" s="16">
        <f t="shared" ca="1" si="15"/>
        <v>25.76397695545365</v>
      </c>
    </row>
    <row r="213" spans="2:12" x14ac:dyDescent="0.3">
      <c r="B213" s="16">
        <f t="shared" si="16"/>
        <v>200</v>
      </c>
      <c r="C213" s="16">
        <f t="shared" ca="1" si="15"/>
        <v>49.4045404440797</v>
      </c>
      <c r="D213" s="16">
        <f t="shared" ca="1" si="15"/>
        <v>31.947661017709844</v>
      </c>
      <c r="E213" s="16">
        <f t="shared" ca="1" si="15"/>
        <v>32.317150715787271</v>
      </c>
      <c r="F213" s="16">
        <f t="shared" ca="1" si="15"/>
        <v>41.051191215773933</v>
      </c>
      <c r="G213" s="16">
        <f t="shared" ca="1" si="15"/>
        <v>40.527065846094878</v>
      </c>
      <c r="H213" s="16">
        <f t="shared" ca="1" si="15"/>
        <v>30.509689167155926</v>
      </c>
      <c r="I213" s="16">
        <f t="shared" ca="1" si="15"/>
        <v>32.995725601486541</v>
      </c>
      <c r="J213" s="16">
        <f t="shared" ca="1" si="15"/>
        <v>23.031821520977022</v>
      </c>
      <c r="K213" s="16">
        <f t="shared" ca="1" si="15"/>
        <v>44.732770992046028</v>
      </c>
      <c r="L213" s="16">
        <f t="shared" ca="1" si="15"/>
        <v>25.577704319899574</v>
      </c>
    </row>
    <row r="214" spans="2:12" x14ac:dyDescent="0.3">
      <c r="B214" s="16">
        <f t="shared" si="16"/>
        <v>201</v>
      </c>
      <c r="C214" s="16">
        <f t="shared" ca="1" si="15"/>
        <v>49.914562829851178</v>
      </c>
      <c r="D214" s="16">
        <f t="shared" ca="1" si="15"/>
        <v>31.715935320099913</v>
      </c>
      <c r="E214" s="16">
        <f t="shared" ca="1" si="15"/>
        <v>32.289558653607607</v>
      </c>
      <c r="F214" s="16">
        <f t="shared" ca="1" si="15"/>
        <v>41.561132585987764</v>
      </c>
      <c r="G214" s="16">
        <f t="shared" ca="1" si="15"/>
        <v>41.481312744944475</v>
      </c>
      <c r="H214" s="16">
        <f t="shared" ca="1" si="15"/>
        <v>28.953746174767939</v>
      </c>
      <c r="I214" s="16">
        <f t="shared" ca="1" si="15"/>
        <v>32.58614463735902</v>
      </c>
      <c r="J214" s="16">
        <f t="shared" ca="1" si="15"/>
        <v>21.924302022425717</v>
      </c>
      <c r="K214" s="16">
        <f t="shared" ca="1" si="15"/>
        <v>43.625314734885997</v>
      </c>
      <c r="L214" s="16">
        <f t="shared" ca="1" si="15"/>
        <v>25.627679788392189</v>
      </c>
    </row>
    <row r="215" spans="2:12" x14ac:dyDescent="0.3">
      <c r="B215" s="16">
        <f t="shared" si="16"/>
        <v>202</v>
      </c>
      <c r="C215" s="16">
        <f t="shared" ca="1" si="15"/>
        <v>49.681721471789352</v>
      </c>
      <c r="D215" s="16">
        <f t="shared" ca="1" si="15"/>
        <v>31.192914195317996</v>
      </c>
      <c r="E215" s="16">
        <f t="shared" ca="1" si="15"/>
        <v>31.264883244065651</v>
      </c>
      <c r="F215" s="16">
        <f t="shared" ca="1" si="15"/>
        <v>41.386438259392968</v>
      </c>
      <c r="G215" s="16">
        <f t="shared" ca="1" si="15"/>
        <v>39.85216052926328</v>
      </c>
      <c r="H215" s="16">
        <f t="shared" ca="1" si="15"/>
        <v>29.671565764455501</v>
      </c>
      <c r="I215" s="16">
        <f t="shared" ca="1" si="15"/>
        <v>33.128466896137667</v>
      </c>
      <c r="J215" s="16">
        <f t="shared" ca="1" si="15"/>
        <v>22.587270942618726</v>
      </c>
      <c r="K215" s="16">
        <f t="shared" ca="1" si="15"/>
        <v>44.600830199088904</v>
      </c>
      <c r="L215" s="16">
        <f t="shared" ca="1" si="15"/>
        <v>24.82568093779787</v>
      </c>
    </row>
    <row r="216" spans="2:12" x14ac:dyDescent="0.3">
      <c r="B216" s="16">
        <f t="shared" si="16"/>
        <v>203</v>
      </c>
      <c r="C216" s="16">
        <f t="shared" ca="1" si="15"/>
        <v>48.087400245653974</v>
      </c>
      <c r="D216" s="16">
        <f t="shared" ca="1" si="15"/>
        <v>30.97148284501781</v>
      </c>
      <c r="E216" s="16">
        <f t="shared" ca="1" si="15"/>
        <v>30.78242600502416</v>
      </c>
      <c r="F216" s="16">
        <f t="shared" ca="1" si="15"/>
        <v>41.310252268997289</v>
      </c>
      <c r="G216" s="16">
        <f t="shared" ca="1" si="15"/>
        <v>40.093675970447343</v>
      </c>
      <c r="H216" s="16">
        <f t="shared" ca="1" si="15"/>
        <v>29.2794937929865</v>
      </c>
      <c r="I216" s="16">
        <f t="shared" ca="1" si="15"/>
        <v>32.572509319587489</v>
      </c>
      <c r="J216" s="16">
        <f t="shared" ca="1" si="15"/>
        <v>23.034271911280243</v>
      </c>
      <c r="K216" s="16">
        <f t="shared" ca="1" si="15"/>
        <v>44.697402273785301</v>
      </c>
      <c r="L216" s="16">
        <f t="shared" ca="1" si="15"/>
        <v>24.449633243628632</v>
      </c>
    </row>
    <row r="217" spans="2:12" x14ac:dyDescent="0.3">
      <c r="B217" s="16">
        <f t="shared" si="16"/>
        <v>204</v>
      </c>
      <c r="C217" s="16">
        <f t="shared" ca="1" si="15"/>
        <v>47.509877124143209</v>
      </c>
      <c r="D217" s="16">
        <f t="shared" ca="1" si="15"/>
        <v>30.596673878967881</v>
      </c>
      <c r="E217" s="16">
        <f t="shared" ca="1" si="15"/>
        <v>30.400955927604816</v>
      </c>
      <c r="F217" s="16">
        <f t="shared" ca="1" si="15"/>
        <v>41.655962622910003</v>
      </c>
      <c r="G217" s="16">
        <f t="shared" ca="1" si="15"/>
        <v>39.254084508501471</v>
      </c>
      <c r="H217" s="16">
        <f t="shared" ca="1" si="15"/>
        <v>29.950612622523654</v>
      </c>
      <c r="I217" s="16">
        <f t="shared" ca="1" si="15"/>
        <v>31.575363332153024</v>
      </c>
      <c r="J217" s="16">
        <f t="shared" ca="1" si="15"/>
        <v>22.939788650093931</v>
      </c>
      <c r="K217" s="16">
        <f t="shared" ca="1" si="15"/>
        <v>47.065971473763305</v>
      </c>
      <c r="L217" s="16">
        <f t="shared" ca="1" si="15"/>
        <v>25.01605989159178</v>
      </c>
    </row>
    <row r="218" spans="2:12" x14ac:dyDescent="0.3">
      <c r="B218" s="16">
        <f t="shared" si="16"/>
        <v>205</v>
      </c>
      <c r="C218" s="16">
        <f t="shared" ca="1" si="15"/>
        <v>45.981865929242261</v>
      </c>
      <c r="D218" s="16">
        <f t="shared" ca="1" si="15"/>
        <v>31.182868687745252</v>
      </c>
      <c r="E218" s="16">
        <f t="shared" ca="1" si="15"/>
        <v>31.352963219007997</v>
      </c>
      <c r="F218" s="16">
        <f t="shared" ca="1" si="15"/>
        <v>40.922146877260744</v>
      </c>
      <c r="G218" s="16">
        <f t="shared" ca="1" si="15"/>
        <v>38.830496624909188</v>
      </c>
      <c r="H218" s="16">
        <f t="shared" ca="1" si="15"/>
        <v>29.72569332753832</v>
      </c>
      <c r="I218" s="16">
        <f t="shared" ca="1" si="15"/>
        <v>31.287546593611101</v>
      </c>
      <c r="J218" s="16">
        <f t="shared" ca="1" si="15"/>
        <v>22.669727426907087</v>
      </c>
      <c r="K218" s="16">
        <f t="shared" ca="1" si="15"/>
        <v>47.441124083037991</v>
      </c>
      <c r="L218" s="16">
        <f t="shared" ca="1" si="15"/>
        <v>24.683764928086788</v>
      </c>
    </row>
    <row r="219" spans="2:12" x14ac:dyDescent="0.3">
      <c r="B219" s="16">
        <f t="shared" si="16"/>
        <v>206</v>
      </c>
      <c r="C219" s="16">
        <f t="shared" ca="1" si="15"/>
        <v>46.368635527913419</v>
      </c>
      <c r="D219" s="16">
        <f t="shared" ca="1" si="15"/>
        <v>31.344883295549501</v>
      </c>
      <c r="E219" s="16">
        <f t="shared" ca="1" si="15"/>
        <v>31.418717874017929</v>
      </c>
      <c r="F219" s="16">
        <f t="shared" ca="1" si="15"/>
        <v>40.217120195467196</v>
      </c>
      <c r="G219" s="16">
        <f t="shared" ca="1" si="15"/>
        <v>38.303347374533438</v>
      </c>
      <c r="H219" s="16">
        <f t="shared" ca="1" si="15"/>
        <v>29.283484380697015</v>
      </c>
      <c r="I219" s="16">
        <f t="shared" ca="1" si="15"/>
        <v>32.278335411196863</v>
      </c>
      <c r="J219" s="16">
        <f t="shared" ca="1" si="15"/>
        <v>22.902441256545131</v>
      </c>
      <c r="K219" s="16">
        <f t="shared" ca="1" si="15"/>
        <v>48.226831626827178</v>
      </c>
      <c r="L219" s="16">
        <f t="shared" ca="1" si="15"/>
        <v>24.867963563265416</v>
      </c>
    </row>
    <row r="220" spans="2:12" x14ac:dyDescent="0.3">
      <c r="B220" s="16">
        <f t="shared" si="16"/>
        <v>207</v>
      </c>
      <c r="C220" s="16">
        <f t="shared" ca="1" si="15"/>
        <v>46.753779342778522</v>
      </c>
      <c r="D220" s="16">
        <f t="shared" ca="1" si="15"/>
        <v>30.668909799708388</v>
      </c>
      <c r="E220" s="16">
        <f t="shared" ca="1" si="15"/>
        <v>31.481111991541116</v>
      </c>
      <c r="F220" s="16">
        <f t="shared" ca="1" si="15"/>
        <v>40.704447247764939</v>
      </c>
      <c r="G220" s="16">
        <f t="shared" ca="1" si="15"/>
        <v>38.080552029313573</v>
      </c>
      <c r="H220" s="16">
        <f t="shared" ca="1" si="15"/>
        <v>28.712586301129082</v>
      </c>
      <c r="I220" s="16">
        <f t="shared" ca="1" si="15"/>
        <v>32.412875504379478</v>
      </c>
      <c r="J220" s="16">
        <f t="shared" ca="1" si="15"/>
        <v>22.63824284856203</v>
      </c>
      <c r="K220" s="16">
        <f t="shared" ca="1" si="15"/>
        <v>48.184846905699281</v>
      </c>
      <c r="L220" s="16">
        <f t="shared" ca="1" si="15"/>
        <v>25.087724916038326</v>
      </c>
    </row>
    <row r="221" spans="2:12" x14ac:dyDescent="0.3">
      <c r="B221" s="16">
        <f t="shared" si="16"/>
        <v>208</v>
      </c>
      <c r="C221" s="16">
        <f t="shared" ca="1" si="15"/>
        <v>46.281380820686316</v>
      </c>
      <c r="D221" s="16">
        <f t="shared" ca="1" si="15"/>
        <v>30.453552408489106</v>
      </c>
      <c r="E221" s="16">
        <f t="shared" ca="1" si="15"/>
        <v>31.098779162836372</v>
      </c>
      <c r="F221" s="16">
        <f t="shared" ca="1" si="15"/>
        <v>42.675058193583169</v>
      </c>
      <c r="G221" s="16">
        <f t="shared" ca="1" si="15"/>
        <v>38.222504505834181</v>
      </c>
      <c r="H221" s="16">
        <f t="shared" ca="1" si="15"/>
        <v>29.760476115364398</v>
      </c>
      <c r="I221" s="16">
        <f t="shared" ca="1" si="15"/>
        <v>32.397091769899355</v>
      </c>
      <c r="J221" s="16">
        <f t="shared" ca="1" si="15"/>
        <v>23.209721442466314</v>
      </c>
      <c r="K221" s="16">
        <f t="shared" ca="1" si="15"/>
        <v>49.119483342876038</v>
      </c>
      <c r="L221" s="16">
        <f t="shared" ca="1" si="15"/>
        <v>25.025647811266495</v>
      </c>
    </row>
    <row r="222" spans="2:12" x14ac:dyDescent="0.3">
      <c r="B222" s="16">
        <f t="shared" si="16"/>
        <v>209</v>
      </c>
      <c r="C222" s="16">
        <f t="shared" ref="C222:L237" ca="1" si="17">C221*EXP(($E$5-0.5*$E$6*$E$6)*$E$7+$E$6*SQRT($E$7)*_xlfn.NORM.S.INV(RAND()))</f>
        <v>46.302458993522706</v>
      </c>
      <c r="D222" s="16">
        <f t="shared" ca="1" si="17"/>
        <v>31.349236572223688</v>
      </c>
      <c r="E222" s="16">
        <f t="shared" ca="1" si="17"/>
        <v>31.007305961301192</v>
      </c>
      <c r="F222" s="16">
        <f t="shared" ca="1" si="17"/>
        <v>43.752079971812591</v>
      </c>
      <c r="G222" s="16">
        <f t="shared" ca="1" si="17"/>
        <v>37.209354607696447</v>
      </c>
      <c r="H222" s="16">
        <f t="shared" ca="1" si="17"/>
        <v>30.238316602829556</v>
      </c>
      <c r="I222" s="16">
        <f t="shared" ca="1" si="17"/>
        <v>32.109793010861374</v>
      </c>
      <c r="J222" s="16">
        <f t="shared" ca="1" si="17"/>
        <v>23.132317444679874</v>
      </c>
      <c r="K222" s="16">
        <f t="shared" ca="1" si="17"/>
        <v>48.486852342544637</v>
      </c>
      <c r="L222" s="16">
        <f t="shared" ca="1" si="17"/>
        <v>24.704973072494901</v>
      </c>
    </row>
    <row r="223" spans="2:12" x14ac:dyDescent="0.3">
      <c r="B223" s="16">
        <f t="shared" si="16"/>
        <v>210</v>
      </c>
      <c r="C223" s="16">
        <f t="shared" ca="1" si="17"/>
        <v>46.489509250411132</v>
      </c>
      <c r="D223" s="16">
        <f t="shared" ca="1" si="17"/>
        <v>31.563410391035344</v>
      </c>
      <c r="E223" s="16">
        <f t="shared" ca="1" si="17"/>
        <v>30.268603245901353</v>
      </c>
      <c r="F223" s="16">
        <f t="shared" ca="1" si="17"/>
        <v>43.313994846943871</v>
      </c>
      <c r="G223" s="16">
        <f t="shared" ca="1" si="17"/>
        <v>37.987261782554043</v>
      </c>
      <c r="H223" s="16">
        <f t="shared" ca="1" si="17"/>
        <v>30.820553875982952</v>
      </c>
      <c r="I223" s="16">
        <f t="shared" ca="1" si="17"/>
        <v>32.548056262001843</v>
      </c>
      <c r="J223" s="16">
        <f t="shared" ca="1" si="17"/>
        <v>23.910311065573904</v>
      </c>
      <c r="K223" s="16">
        <f t="shared" ca="1" si="17"/>
        <v>48.066944674438638</v>
      </c>
      <c r="L223" s="16">
        <f t="shared" ca="1" si="17"/>
        <v>25.107770899082574</v>
      </c>
    </row>
    <row r="224" spans="2:12" x14ac:dyDescent="0.3">
      <c r="B224" s="16">
        <f t="shared" si="16"/>
        <v>211</v>
      </c>
      <c r="C224" s="16">
        <f t="shared" ca="1" si="17"/>
        <v>45.88705312050962</v>
      </c>
      <c r="D224" s="16">
        <f t="shared" ca="1" si="17"/>
        <v>31.531585577000552</v>
      </c>
      <c r="E224" s="16">
        <f t="shared" ca="1" si="17"/>
        <v>29.966691666999431</v>
      </c>
      <c r="F224" s="16">
        <f t="shared" ca="1" si="17"/>
        <v>44.486771426217601</v>
      </c>
      <c r="G224" s="16">
        <f t="shared" ca="1" si="17"/>
        <v>38.141663284041996</v>
      </c>
      <c r="H224" s="16">
        <f t="shared" ca="1" si="17"/>
        <v>30.698268711071528</v>
      </c>
      <c r="I224" s="16">
        <f t="shared" ca="1" si="17"/>
        <v>32.694124368863484</v>
      </c>
      <c r="J224" s="16">
        <f t="shared" ca="1" si="17"/>
        <v>24.244388829745727</v>
      </c>
      <c r="K224" s="16">
        <f t="shared" ca="1" si="17"/>
        <v>46.601876808819284</v>
      </c>
      <c r="L224" s="16">
        <f t="shared" ca="1" si="17"/>
        <v>25.527849283512808</v>
      </c>
    </row>
    <row r="225" spans="2:12" x14ac:dyDescent="0.3">
      <c r="B225" s="16">
        <f t="shared" si="16"/>
        <v>212</v>
      </c>
      <c r="C225" s="16">
        <f t="shared" ca="1" si="17"/>
        <v>45.491062572972446</v>
      </c>
      <c r="D225" s="16">
        <f t="shared" ca="1" si="17"/>
        <v>31.588212139165609</v>
      </c>
      <c r="E225" s="16">
        <f t="shared" ca="1" si="17"/>
        <v>28.515396130821422</v>
      </c>
      <c r="F225" s="16">
        <f t="shared" ca="1" si="17"/>
        <v>44.927198123298879</v>
      </c>
      <c r="G225" s="16">
        <f t="shared" ca="1" si="17"/>
        <v>38.164652370907362</v>
      </c>
      <c r="H225" s="16">
        <f t="shared" ca="1" si="17"/>
        <v>30.25064764208172</v>
      </c>
      <c r="I225" s="16">
        <f t="shared" ca="1" si="17"/>
        <v>33.853295014640594</v>
      </c>
      <c r="J225" s="16">
        <f t="shared" ca="1" si="17"/>
        <v>24.055908665199063</v>
      </c>
      <c r="K225" s="16">
        <f t="shared" ca="1" si="17"/>
        <v>45.915506943442054</v>
      </c>
      <c r="L225" s="16">
        <f t="shared" ca="1" si="17"/>
        <v>25.480300889264004</v>
      </c>
    </row>
    <row r="226" spans="2:12" x14ac:dyDescent="0.3">
      <c r="B226" s="16">
        <f t="shared" si="16"/>
        <v>213</v>
      </c>
      <c r="C226" s="16">
        <f t="shared" ca="1" si="17"/>
        <v>44.412401406937818</v>
      </c>
      <c r="D226" s="16">
        <f t="shared" ca="1" si="17"/>
        <v>32.036925506381429</v>
      </c>
      <c r="E226" s="16">
        <f t="shared" ca="1" si="17"/>
        <v>28.719296274010734</v>
      </c>
      <c r="F226" s="16">
        <f t="shared" ca="1" si="17"/>
        <v>44.438359927038533</v>
      </c>
      <c r="G226" s="16">
        <f t="shared" ca="1" si="17"/>
        <v>38.57362664533742</v>
      </c>
      <c r="H226" s="16">
        <f t="shared" ca="1" si="17"/>
        <v>30.510262763755559</v>
      </c>
      <c r="I226" s="16">
        <f t="shared" ca="1" si="17"/>
        <v>34.13042425702637</v>
      </c>
      <c r="J226" s="16">
        <f t="shared" ca="1" si="17"/>
        <v>23.863405765724202</v>
      </c>
      <c r="K226" s="16">
        <f t="shared" ca="1" si="17"/>
        <v>45.97724480860208</v>
      </c>
      <c r="L226" s="16">
        <f t="shared" ca="1" si="17"/>
        <v>25.850662241636549</v>
      </c>
    </row>
    <row r="227" spans="2:12" x14ac:dyDescent="0.3">
      <c r="B227" s="16">
        <f t="shared" si="16"/>
        <v>214</v>
      </c>
      <c r="C227" s="16">
        <f t="shared" ca="1" si="17"/>
        <v>42.892039526986913</v>
      </c>
      <c r="D227" s="16">
        <f t="shared" ca="1" si="17"/>
        <v>32.261253995603859</v>
      </c>
      <c r="E227" s="16">
        <f t="shared" ca="1" si="17"/>
        <v>29.519638136695448</v>
      </c>
      <c r="F227" s="16">
        <f t="shared" ca="1" si="17"/>
        <v>44.291952690902463</v>
      </c>
      <c r="G227" s="16">
        <f t="shared" ca="1" si="17"/>
        <v>38.573473290356162</v>
      </c>
      <c r="H227" s="16">
        <f t="shared" ca="1" si="17"/>
        <v>30.935058583141902</v>
      </c>
      <c r="I227" s="16">
        <f t="shared" ca="1" si="17"/>
        <v>35.378316267738583</v>
      </c>
      <c r="J227" s="16">
        <f t="shared" ca="1" si="17"/>
        <v>23.194080341293571</v>
      </c>
      <c r="K227" s="16">
        <f t="shared" ca="1" si="17"/>
        <v>46.889021416836528</v>
      </c>
      <c r="L227" s="16">
        <f t="shared" ca="1" si="17"/>
        <v>25.907018297709804</v>
      </c>
    </row>
    <row r="228" spans="2:12" x14ac:dyDescent="0.3">
      <c r="B228" s="16">
        <f t="shared" si="16"/>
        <v>215</v>
      </c>
      <c r="C228" s="16">
        <f t="shared" ca="1" si="17"/>
        <v>41.869742495965795</v>
      </c>
      <c r="D228" s="16">
        <f t="shared" ca="1" si="17"/>
        <v>31.528914264539871</v>
      </c>
      <c r="E228" s="16">
        <f t="shared" ca="1" si="17"/>
        <v>30.526433407914585</v>
      </c>
      <c r="F228" s="16">
        <f t="shared" ca="1" si="17"/>
        <v>43.439930826682314</v>
      </c>
      <c r="G228" s="16">
        <f t="shared" ca="1" si="17"/>
        <v>37.621649959564422</v>
      </c>
      <c r="H228" s="16">
        <f t="shared" ca="1" si="17"/>
        <v>30.693844624987488</v>
      </c>
      <c r="I228" s="16">
        <f t="shared" ca="1" si="17"/>
        <v>35.919396002658885</v>
      </c>
      <c r="J228" s="16">
        <f t="shared" ca="1" si="17"/>
        <v>23.329330252669301</v>
      </c>
      <c r="K228" s="16">
        <f t="shared" ca="1" si="17"/>
        <v>46.554841945580982</v>
      </c>
      <c r="L228" s="16">
        <f t="shared" ca="1" si="17"/>
        <v>26.347569857444928</v>
      </c>
    </row>
    <row r="229" spans="2:12" x14ac:dyDescent="0.3">
      <c r="B229" s="16">
        <f t="shared" si="16"/>
        <v>216</v>
      </c>
      <c r="C229" s="16">
        <f t="shared" ca="1" si="17"/>
        <v>42.326653210582641</v>
      </c>
      <c r="D229" s="16">
        <f t="shared" ca="1" si="17"/>
        <v>31.380087985387203</v>
      </c>
      <c r="E229" s="16">
        <f t="shared" ca="1" si="17"/>
        <v>30.677876206498418</v>
      </c>
      <c r="F229" s="16">
        <f t="shared" ca="1" si="17"/>
        <v>42.300698957226786</v>
      </c>
      <c r="G229" s="16">
        <f t="shared" ca="1" si="17"/>
        <v>38.177290279539065</v>
      </c>
      <c r="H229" s="16">
        <f t="shared" ca="1" si="17"/>
        <v>31.062673315673727</v>
      </c>
      <c r="I229" s="16">
        <f t="shared" ca="1" si="17"/>
        <v>36.212850711367125</v>
      </c>
      <c r="J229" s="16">
        <f t="shared" ca="1" si="17"/>
        <v>22.964495469631107</v>
      </c>
      <c r="K229" s="16">
        <f t="shared" ca="1" si="17"/>
        <v>47.87988992682989</v>
      </c>
      <c r="L229" s="16">
        <f t="shared" ca="1" si="17"/>
        <v>26.909428970224706</v>
      </c>
    </row>
    <row r="230" spans="2:12" x14ac:dyDescent="0.3">
      <c r="B230" s="16">
        <f t="shared" si="16"/>
        <v>217</v>
      </c>
      <c r="C230" s="16">
        <f t="shared" ca="1" si="17"/>
        <v>42.410153838927172</v>
      </c>
      <c r="D230" s="16">
        <f t="shared" ca="1" si="17"/>
        <v>32.375269152436211</v>
      </c>
      <c r="E230" s="16">
        <f t="shared" ca="1" si="17"/>
        <v>31.502734908782504</v>
      </c>
      <c r="F230" s="16">
        <f t="shared" ca="1" si="17"/>
        <v>42.074624605217352</v>
      </c>
      <c r="G230" s="16">
        <f t="shared" ca="1" si="17"/>
        <v>37.904632579576329</v>
      </c>
      <c r="H230" s="16">
        <f t="shared" ca="1" si="17"/>
        <v>32.096528723560553</v>
      </c>
      <c r="I230" s="16">
        <f t="shared" ca="1" si="17"/>
        <v>36.01933519515579</v>
      </c>
      <c r="J230" s="16">
        <f t="shared" ca="1" si="17"/>
        <v>23.459774565532715</v>
      </c>
      <c r="K230" s="16">
        <f t="shared" ca="1" si="17"/>
        <v>47.833417782972482</v>
      </c>
      <c r="L230" s="16">
        <f t="shared" ca="1" si="17"/>
        <v>26.664100237792937</v>
      </c>
    </row>
    <row r="231" spans="2:12" x14ac:dyDescent="0.3">
      <c r="B231" s="16">
        <f t="shared" si="16"/>
        <v>218</v>
      </c>
      <c r="C231" s="16">
        <f t="shared" ca="1" si="17"/>
        <v>42.427284948108564</v>
      </c>
      <c r="D231" s="16">
        <f t="shared" ca="1" si="17"/>
        <v>33.218292107586116</v>
      </c>
      <c r="E231" s="16">
        <f t="shared" ca="1" si="17"/>
        <v>31.660028146441974</v>
      </c>
      <c r="F231" s="16">
        <f t="shared" ca="1" si="17"/>
        <v>41.953374190110885</v>
      </c>
      <c r="G231" s="16">
        <f t="shared" ca="1" si="17"/>
        <v>37.468255331094895</v>
      </c>
      <c r="H231" s="16">
        <f t="shared" ca="1" si="17"/>
        <v>31.683526292776406</v>
      </c>
      <c r="I231" s="16">
        <f t="shared" ca="1" si="17"/>
        <v>35.483692138342356</v>
      </c>
      <c r="J231" s="16">
        <f t="shared" ca="1" si="17"/>
        <v>23.686347245342933</v>
      </c>
      <c r="K231" s="16">
        <f t="shared" ca="1" si="17"/>
        <v>46.884704327722403</v>
      </c>
      <c r="L231" s="16">
        <f t="shared" ca="1" si="17"/>
        <v>25.468036777760044</v>
      </c>
    </row>
    <row r="232" spans="2:12" x14ac:dyDescent="0.3">
      <c r="B232" s="16">
        <f t="shared" si="16"/>
        <v>219</v>
      </c>
      <c r="C232" s="16">
        <f t="shared" ca="1" si="17"/>
        <v>42.685963630895323</v>
      </c>
      <c r="D232" s="16">
        <f t="shared" ca="1" si="17"/>
        <v>33.20074415220148</v>
      </c>
      <c r="E232" s="16">
        <f t="shared" ca="1" si="17"/>
        <v>31.608027340267693</v>
      </c>
      <c r="F232" s="16">
        <f t="shared" ca="1" si="17"/>
        <v>43.998812242199136</v>
      </c>
      <c r="G232" s="16">
        <f t="shared" ca="1" si="17"/>
        <v>37.213507921898099</v>
      </c>
      <c r="H232" s="16">
        <f t="shared" ca="1" si="17"/>
        <v>31.155919996935822</v>
      </c>
      <c r="I232" s="16">
        <f t="shared" ca="1" si="17"/>
        <v>35.072755496010615</v>
      </c>
      <c r="J232" s="16">
        <f t="shared" ca="1" si="17"/>
        <v>23.554291821543607</v>
      </c>
      <c r="K232" s="16">
        <f t="shared" ca="1" si="17"/>
        <v>47.376415656077917</v>
      </c>
      <c r="L232" s="16">
        <f t="shared" ca="1" si="17"/>
        <v>25.278045291221719</v>
      </c>
    </row>
    <row r="233" spans="2:12" x14ac:dyDescent="0.3">
      <c r="B233" s="16">
        <f t="shared" si="16"/>
        <v>220</v>
      </c>
      <c r="C233" s="16">
        <f t="shared" ca="1" si="17"/>
        <v>41.636912942579329</v>
      </c>
      <c r="D233" s="16">
        <f t="shared" ca="1" si="17"/>
        <v>33.207915046360171</v>
      </c>
      <c r="E233" s="16">
        <f t="shared" ca="1" si="17"/>
        <v>31.024847540175593</v>
      </c>
      <c r="F233" s="16">
        <f t="shared" ca="1" si="17"/>
        <v>43.938471526287202</v>
      </c>
      <c r="G233" s="16">
        <f t="shared" ca="1" si="17"/>
        <v>38.201006968109006</v>
      </c>
      <c r="H233" s="16">
        <f t="shared" ca="1" si="17"/>
        <v>30.804186876411489</v>
      </c>
      <c r="I233" s="16">
        <f t="shared" ca="1" si="17"/>
        <v>35.340333578253912</v>
      </c>
      <c r="J233" s="16">
        <f t="shared" ca="1" si="17"/>
        <v>23.576726616508132</v>
      </c>
      <c r="K233" s="16">
        <f t="shared" ca="1" si="17"/>
        <v>47.076012576129877</v>
      </c>
      <c r="L233" s="16">
        <f t="shared" ca="1" si="17"/>
        <v>25.205262181641498</v>
      </c>
    </row>
    <row r="234" spans="2:12" x14ac:dyDescent="0.3">
      <c r="B234" s="16">
        <f t="shared" si="16"/>
        <v>221</v>
      </c>
      <c r="C234" s="16">
        <f t="shared" ca="1" si="17"/>
        <v>40.504784902015643</v>
      </c>
      <c r="D234" s="16">
        <f t="shared" ca="1" si="17"/>
        <v>33.373239869829582</v>
      </c>
      <c r="E234" s="16">
        <f t="shared" ca="1" si="17"/>
        <v>30.949133817414292</v>
      </c>
      <c r="F234" s="16">
        <f t="shared" ca="1" si="17"/>
        <v>43.889889713542466</v>
      </c>
      <c r="G234" s="16">
        <f t="shared" ca="1" si="17"/>
        <v>39.184548069467283</v>
      </c>
      <c r="H234" s="16">
        <f t="shared" ca="1" si="17"/>
        <v>31.069401364579644</v>
      </c>
      <c r="I234" s="16">
        <f t="shared" ca="1" si="17"/>
        <v>35.319402624672477</v>
      </c>
      <c r="J234" s="16">
        <f t="shared" ca="1" si="17"/>
        <v>23.580866832273838</v>
      </c>
      <c r="K234" s="16">
        <f t="shared" ca="1" si="17"/>
        <v>46.810532543002402</v>
      </c>
      <c r="L234" s="16">
        <f t="shared" ca="1" si="17"/>
        <v>24.961884187373858</v>
      </c>
    </row>
    <row r="235" spans="2:12" x14ac:dyDescent="0.3">
      <c r="B235" s="16">
        <f t="shared" si="16"/>
        <v>222</v>
      </c>
      <c r="C235" s="16">
        <f t="shared" ca="1" si="17"/>
        <v>39.306910876324309</v>
      </c>
      <c r="D235" s="16">
        <f t="shared" ca="1" si="17"/>
        <v>33.29820504714921</v>
      </c>
      <c r="E235" s="16">
        <f t="shared" ca="1" si="17"/>
        <v>31.617810448348237</v>
      </c>
      <c r="F235" s="16">
        <f t="shared" ca="1" si="17"/>
        <v>43.646586704899249</v>
      </c>
      <c r="G235" s="16">
        <f t="shared" ca="1" si="17"/>
        <v>38.533536204499597</v>
      </c>
      <c r="H235" s="16">
        <f t="shared" ca="1" si="17"/>
        <v>31.191538559688272</v>
      </c>
      <c r="I235" s="16">
        <f t="shared" ca="1" si="17"/>
        <v>35.370034081174559</v>
      </c>
      <c r="J235" s="16">
        <f t="shared" ca="1" si="17"/>
        <v>24.052186630398769</v>
      </c>
      <c r="K235" s="16">
        <f t="shared" ca="1" si="17"/>
        <v>46.969725008660433</v>
      </c>
      <c r="L235" s="16">
        <f t="shared" ca="1" si="17"/>
        <v>24.860107535949588</v>
      </c>
    </row>
    <row r="236" spans="2:12" x14ac:dyDescent="0.3">
      <c r="B236" s="16">
        <f t="shared" si="16"/>
        <v>223</v>
      </c>
      <c r="C236" s="16">
        <f t="shared" ca="1" si="17"/>
        <v>40.464160757860974</v>
      </c>
      <c r="D236" s="16">
        <f t="shared" ca="1" si="17"/>
        <v>33.122150376838171</v>
      </c>
      <c r="E236" s="16">
        <f t="shared" ca="1" si="17"/>
        <v>32.049136008662543</v>
      </c>
      <c r="F236" s="16">
        <f t="shared" ca="1" si="17"/>
        <v>43.968723387427033</v>
      </c>
      <c r="G236" s="16">
        <f t="shared" ca="1" si="17"/>
        <v>37.538124345800391</v>
      </c>
      <c r="H236" s="16">
        <f t="shared" ca="1" si="17"/>
        <v>30.427824696631255</v>
      </c>
      <c r="I236" s="16">
        <f t="shared" ca="1" si="17"/>
        <v>34.949790020559576</v>
      </c>
      <c r="J236" s="16">
        <f t="shared" ca="1" si="17"/>
        <v>24.423482463173791</v>
      </c>
      <c r="K236" s="16">
        <f t="shared" ca="1" si="17"/>
        <v>46.601991878293994</v>
      </c>
      <c r="L236" s="16">
        <f t="shared" ca="1" si="17"/>
        <v>24.58071573847683</v>
      </c>
    </row>
    <row r="237" spans="2:12" x14ac:dyDescent="0.3">
      <c r="B237" s="16">
        <f t="shared" si="16"/>
        <v>224</v>
      </c>
      <c r="C237" s="16">
        <f t="shared" ca="1" si="17"/>
        <v>40.493530137278618</v>
      </c>
      <c r="D237" s="16">
        <f t="shared" ca="1" si="17"/>
        <v>33.220314099531898</v>
      </c>
      <c r="E237" s="16">
        <f t="shared" ca="1" si="17"/>
        <v>31.919314680516685</v>
      </c>
      <c r="F237" s="16">
        <f t="shared" ca="1" si="17"/>
        <v>44.565888677701437</v>
      </c>
      <c r="G237" s="16">
        <f t="shared" ca="1" si="17"/>
        <v>37.329265023070874</v>
      </c>
      <c r="H237" s="16">
        <f t="shared" ca="1" si="17"/>
        <v>30.502986703468984</v>
      </c>
      <c r="I237" s="16">
        <f t="shared" ca="1" si="17"/>
        <v>35.806508027797342</v>
      </c>
      <c r="J237" s="16">
        <f t="shared" ca="1" si="17"/>
        <v>23.82840629027848</v>
      </c>
      <c r="K237" s="16">
        <f t="shared" ca="1" si="17"/>
        <v>45.830574763285696</v>
      </c>
      <c r="L237" s="16">
        <f t="shared" ca="1" si="17"/>
        <v>24.710458837144387</v>
      </c>
    </row>
    <row r="238" spans="2:12" x14ac:dyDescent="0.3">
      <c r="B238" s="16">
        <f t="shared" si="16"/>
        <v>225</v>
      </c>
      <c r="C238" s="16">
        <f t="shared" ref="C238:L253" ca="1" si="18">C237*EXP(($E$5-0.5*$E$6*$E$6)*$E$7+$E$6*SQRT($E$7)*_xlfn.NORM.S.INV(RAND()))</f>
        <v>40.805543399946636</v>
      </c>
      <c r="D238" s="16">
        <f t="shared" ca="1" si="18"/>
        <v>33.563187993008967</v>
      </c>
      <c r="E238" s="16">
        <f t="shared" ca="1" si="18"/>
        <v>31.751499879117443</v>
      </c>
      <c r="F238" s="16">
        <f t="shared" ca="1" si="18"/>
        <v>44.918412700593926</v>
      </c>
      <c r="G238" s="16">
        <f t="shared" ca="1" si="18"/>
        <v>38.879099158396265</v>
      </c>
      <c r="H238" s="16">
        <f t="shared" ca="1" si="18"/>
        <v>31.215174038072899</v>
      </c>
      <c r="I238" s="16">
        <f t="shared" ca="1" si="18"/>
        <v>35.325926183913268</v>
      </c>
      <c r="J238" s="16">
        <f t="shared" ca="1" si="18"/>
        <v>23.859158686577199</v>
      </c>
      <c r="K238" s="16">
        <f t="shared" ca="1" si="18"/>
        <v>46.966360424518079</v>
      </c>
      <c r="L238" s="16">
        <f t="shared" ca="1" si="18"/>
        <v>24.542939783446435</v>
      </c>
    </row>
    <row r="239" spans="2:12" x14ac:dyDescent="0.3">
      <c r="B239" s="16">
        <f t="shared" si="16"/>
        <v>226</v>
      </c>
      <c r="C239" s="16">
        <f t="shared" ca="1" si="18"/>
        <v>39.033566492494266</v>
      </c>
      <c r="D239" s="16">
        <f t="shared" ca="1" si="18"/>
        <v>33.418877464248581</v>
      </c>
      <c r="E239" s="16">
        <f t="shared" ca="1" si="18"/>
        <v>31.715833525230028</v>
      </c>
      <c r="F239" s="16">
        <f t="shared" ca="1" si="18"/>
        <v>46.059212362944635</v>
      </c>
      <c r="G239" s="16">
        <f t="shared" ca="1" si="18"/>
        <v>39.926014224612061</v>
      </c>
      <c r="H239" s="16">
        <f t="shared" ca="1" si="18"/>
        <v>31.198791080752486</v>
      </c>
      <c r="I239" s="16">
        <f t="shared" ca="1" si="18"/>
        <v>36.019647648823565</v>
      </c>
      <c r="J239" s="16">
        <f t="shared" ca="1" si="18"/>
        <v>23.634095719180408</v>
      </c>
      <c r="K239" s="16">
        <f t="shared" ca="1" si="18"/>
        <v>46.994509111923115</v>
      </c>
      <c r="L239" s="16">
        <f t="shared" ca="1" si="18"/>
        <v>24.828266803407896</v>
      </c>
    </row>
    <row r="240" spans="2:12" x14ac:dyDescent="0.3">
      <c r="B240" s="16">
        <f t="shared" si="16"/>
        <v>227</v>
      </c>
      <c r="C240" s="16">
        <f t="shared" ca="1" si="18"/>
        <v>39.611456620450603</v>
      </c>
      <c r="D240" s="16">
        <f t="shared" ca="1" si="18"/>
        <v>33.705966052278143</v>
      </c>
      <c r="E240" s="16">
        <f t="shared" ca="1" si="18"/>
        <v>31.084367519224873</v>
      </c>
      <c r="F240" s="16">
        <f t="shared" ca="1" si="18"/>
        <v>46.938200542981363</v>
      </c>
      <c r="G240" s="16">
        <f t="shared" ca="1" si="18"/>
        <v>39.887910657566884</v>
      </c>
      <c r="H240" s="16">
        <f t="shared" ca="1" si="18"/>
        <v>30.854912075042787</v>
      </c>
      <c r="I240" s="16">
        <f t="shared" ca="1" si="18"/>
        <v>36.946716893936603</v>
      </c>
      <c r="J240" s="16">
        <f t="shared" ca="1" si="18"/>
        <v>23.205405082177617</v>
      </c>
      <c r="K240" s="16">
        <f t="shared" ca="1" si="18"/>
        <v>46.925638443086406</v>
      </c>
      <c r="L240" s="16">
        <f t="shared" ca="1" si="18"/>
        <v>25.827119815778158</v>
      </c>
    </row>
    <row r="241" spans="2:12" x14ac:dyDescent="0.3">
      <c r="B241" s="16">
        <f t="shared" si="16"/>
        <v>228</v>
      </c>
      <c r="C241" s="16">
        <f t="shared" ca="1" si="18"/>
        <v>40.053219255579116</v>
      </c>
      <c r="D241" s="16">
        <f t="shared" ca="1" si="18"/>
        <v>34.717619526509395</v>
      </c>
      <c r="E241" s="16">
        <f t="shared" ca="1" si="18"/>
        <v>30.505942979018648</v>
      </c>
      <c r="F241" s="16">
        <f t="shared" ca="1" si="18"/>
        <v>46.590636956821008</v>
      </c>
      <c r="G241" s="16">
        <f t="shared" ca="1" si="18"/>
        <v>39.805564063718791</v>
      </c>
      <c r="H241" s="16">
        <f t="shared" ca="1" si="18"/>
        <v>31.052695928339247</v>
      </c>
      <c r="I241" s="16">
        <f t="shared" ca="1" si="18"/>
        <v>36.243876210013724</v>
      </c>
      <c r="J241" s="16">
        <f t="shared" ca="1" si="18"/>
        <v>23.264143188901922</v>
      </c>
      <c r="K241" s="16">
        <f t="shared" ca="1" si="18"/>
        <v>47.164651640465415</v>
      </c>
      <c r="L241" s="16">
        <f t="shared" ca="1" si="18"/>
        <v>25.181846978818474</v>
      </c>
    </row>
    <row r="242" spans="2:12" x14ac:dyDescent="0.3">
      <c r="B242" s="16">
        <f t="shared" si="16"/>
        <v>229</v>
      </c>
      <c r="C242" s="16">
        <f t="shared" ca="1" si="18"/>
        <v>40.654059365904587</v>
      </c>
      <c r="D242" s="16">
        <f t="shared" ca="1" si="18"/>
        <v>35.332806734158297</v>
      </c>
      <c r="E242" s="16">
        <f t="shared" ca="1" si="18"/>
        <v>30.477726370760099</v>
      </c>
      <c r="F242" s="16">
        <f t="shared" ca="1" si="18"/>
        <v>46.70072238143208</v>
      </c>
      <c r="G242" s="16">
        <f t="shared" ca="1" si="18"/>
        <v>39.185720949143466</v>
      </c>
      <c r="H242" s="16">
        <f t="shared" ca="1" si="18"/>
        <v>31.09652205651139</v>
      </c>
      <c r="I242" s="16">
        <f t="shared" ca="1" si="18"/>
        <v>34.841098597898444</v>
      </c>
      <c r="J242" s="16">
        <f t="shared" ca="1" si="18"/>
        <v>23.057269280021817</v>
      </c>
      <c r="K242" s="16">
        <f t="shared" ca="1" si="18"/>
        <v>47.317675922249883</v>
      </c>
      <c r="L242" s="16">
        <f t="shared" ca="1" si="18"/>
        <v>25.14807223831178</v>
      </c>
    </row>
    <row r="243" spans="2:12" x14ac:dyDescent="0.3">
      <c r="B243" s="16">
        <f t="shared" si="16"/>
        <v>230</v>
      </c>
      <c r="C243" s="16">
        <f t="shared" ca="1" si="18"/>
        <v>40.314730359848596</v>
      </c>
      <c r="D243" s="16">
        <f t="shared" ca="1" si="18"/>
        <v>36.669645406426625</v>
      </c>
      <c r="E243" s="16">
        <f t="shared" ca="1" si="18"/>
        <v>29.404799463652687</v>
      </c>
      <c r="F243" s="16">
        <f t="shared" ca="1" si="18"/>
        <v>47.815908881890522</v>
      </c>
      <c r="G243" s="16">
        <f t="shared" ca="1" si="18"/>
        <v>39.967318912828524</v>
      </c>
      <c r="H243" s="16">
        <f t="shared" ca="1" si="18"/>
        <v>30.871427308448656</v>
      </c>
      <c r="I243" s="16">
        <f t="shared" ca="1" si="18"/>
        <v>34.738580577348515</v>
      </c>
      <c r="J243" s="16">
        <f t="shared" ca="1" si="18"/>
        <v>22.895800379993496</v>
      </c>
      <c r="K243" s="16">
        <f t="shared" ca="1" si="18"/>
        <v>48.373120022905724</v>
      </c>
      <c r="L243" s="16">
        <f t="shared" ca="1" si="18"/>
        <v>24.961635923670954</v>
      </c>
    </row>
    <row r="244" spans="2:12" x14ac:dyDescent="0.3">
      <c r="B244" s="16">
        <f t="shared" si="16"/>
        <v>231</v>
      </c>
      <c r="C244" s="16">
        <f t="shared" ca="1" si="18"/>
        <v>38.998845179948049</v>
      </c>
      <c r="D244" s="16">
        <f t="shared" ca="1" si="18"/>
        <v>37.380198202535745</v>
      </c>
      <c r="E244" s="16">
        <f t="shared" ca="1" si="18"/>
        <v>29.528130642506184</v>
      </c>
      <c r="F244" s="16">
        <f t="shared" ca="1" si="18"/>
        <v>47.782592692417339</v>
      </c>
      <c r="G244" s="16">
        <f t="shared" ca="1" si="18"/>
        <v>40.299479171482275</v>
      </c>
      <c r="H244" s="16">
        <f t="shared" ca="1" si="18"/>
        <v>31.524846522957887</v>
      </c>
      <c r="I244" s="16">
        <f t="shared" ca="1" si="18"/>
        <v>34.929086970225896</v>
      </c>
      <c r="J244" s="16">
        <f t="shared" ca="1" si="18"/>
        <v>23.515517322231695</v>
      </c>
      <c r="K244" s="16">
        <f t="shared" ca="1" si="18"/>
        <v>47.59211566234432</v>
      </c>
      <c r="L244" s="16">
        <f t="shared" ca="1" si="18"/>
        <v>25.085663160197754</v>
      </c>
    </row>
    <row r="245" spans="2:12" x14ac:dyDescent="0.3">
      <c r="B245" s="16">
        <f t="shared" si="16"/>
        <v>232</v>
      </c>
      <c r="C245" s="16">
        <f t="shared" ca="1" si="18"/>
        <v>37.206838423435926</v>
      </c>
      <c r="D245" s="16">
        <f t="shared" ca="1" si="18"/>
        <v>37.108852476371119</v>
      </c>
      <c r="E245" s="16">
        <f t="shared" ca="1" si="18"/>
        <v>29.180739560240095</v>
      </c>
      <c r="F245" s="16">
        <f t="shared" ca="1" si="18"/>
        <v>48.458478503963164</v>
      </c>
      <c r="G245" s="16">
        <f t="shared" ca="1" si="18"/>
        <v>40.522416465826559</v>
      </c>
      <c r="H245" s="16">
        <f t="shared" ca="1" si="18"/>
        <v>33.082033775536622</v>
      </c>
      <c r="I245" s="16">
        <f t="shared" ca="1" si="18"/>
        <v>34.632737574887102</v>
      </c>
      <c r="J245" s="16">
        <f t="shared" ca="1" si="18"/>
        <v>22.95110341067274</v>
      </c>
      <c r="K245" s="16">
        <f t="shared" ca="1" si="18"/>
        <v>48.411334121169972</v>
      </c>
      <c r="L245" s="16">
        <f t="shared" ca="1" si="18"/>
        <v>24.392084892737294</v>
      </c>
    </row>
    <row r="246" spans="2:12" x14ac:dyDescent="0.3">
      <c r="B246" s="16">
        <f t="shared" si="16"/>
        <v>233</v>
      </c>
      <c r="C246" s="16">
        <f t="shared" ca="1" si="18"/>
        <v>37.557362683536049</v>
      </c>
      <c r="D246" s="16">
        <f t="shared" ca="1" si="18"/>
        <v>36.777285924340084</v>
      </c>
      <c r="E246" s="16">
        <f t="shared" ca="1" si="18"/>
        <v>28.972343992256985</v>
      </c>
      <c r="F246" s="16">
        <f t="shared" ca="1" si="18"/>
        <v>48.253212439778665</v>
      </c>
      <c r="G246" s="16">
        <f t="shared" ca="1" si="18"/>
        <v>40.66305126531806</v>
      </c>
      <c r="H246" s="16">
        <f t="shared" ca="1" si="18"/>
        <v>33.456048888956744</v>
      </c>
      <c r="I246" s="16">
        <f t="shared" ca="1" si="18"/>
        <v>35.257772427777631</v>
      </c>
      <c r="J246" s="16">
        <f t="shared" ca="1" si="18"/>
        <v>22.762617038320695</v>
      </c>
      <c r="K246" s="16">
        <f t="shared" ca="1" si="18"/>
        <v>48.390366402455157</v>
      </c>
      <c r="L246" s="16">
        <f t="shared" ca="1" si="18"/>
        <v>24.392841086975199</v>
      </c>
    </row>
    <row r="247" spans="2:12" x14ac:dyDescent="0.3">
      <c r="B247" s="16">
        <f t="shared" si="16"/>
        <v>234</v>
      </c>
      <c r="C247" s="16">
        <f t="shared" ca="1" si="18"/>
        <v>37.298825214079827</v>
      </c>
      <c r="D247" s="16">
        <f t="shared" ca="1" si="18"/>
        <v>36.237983045936758</v>
      </c>
      <c r="E247" s="16">
        <f t="shared" ca="1" si="18"/>
        <v>28.943828063458792</v>
      </c>
      <c r="F247" s="16">
        <f t="shared" ca="1" si="18"/>
        <v>47.442745414168321</v>
      </c>
      <c r="G247" s="16">
        <f t="shared" ca="1" si="18"/>
        <v>40.318181279430604</v>
      </c>
      <c r="H247" s="16">
        <f t="shared" ca="1" si="18"/>
        <v>33.986876801039635</v>
      </c>
      <c r="I247" s="16">
        <f t="shared" ca="1" si="18"/>
        <v>34.633527268957842</v>
      </c>
      <c r="J247" s="16">
        <f t="shared" ca="1" si="18"/>
        <v>23.155530946653659</v>
      </c>
      <c r="K247" s="16">
        <f t="shared" ca="1" si="18"/>
        <v>50.184748778429729</v>
      </c>
      <c r="L247" s="16">
        <f t="shared" ca="1" si="18"/>
        <v>24.595896685217195</v>
      </c>
    </row>
    <row r="248" spans="2:12" x14ac:dyDescent="0.3">
      <c r="B248" s="16">
        <f t="shared" si="16"/>
        <v>235</v>
      </c>
      <c r="C248" s="16">
        <f t="shared" ca="1" si="18"/>
        <v>37.67352980731625</v>
      </c>
      <c r="D248" s="16">
        <f t="shared" ca="1" si="18"/>
        <v>37.139034585880886</v>
      </c>
      <c r="E248" s="16">
        <f t="shared" ca="1" si="18"/>
        <v>28.910605839064907</v>
      </c>
      <c r="F248" s="16">
        <f t="shared" ca="1" si="18"/>
        <v>49.401715730102694</v>
      </c>
      <c r="G248" s="16">
        <f t="shared" ca="1" si="18"/>
        <v>40.135828357302067</v>
      </c>
      <c r="H248" s="16">
        <f t="shared" ca="1" si="18"/>
        <v>34.338041648375018</v>
      </c>
      <c r="I248" s="16">
        <f t="shared" ca="1" si="18"/>
        <v>34.205931113623834</v>
      </c>
      <c r="J248" s="16">
        <f t="shared" ca="1" si="18"/>
        <v>23.20597315003819</v>
      </c>
      <c r="K248" s="16">
        <f t="shared" ca="1" si="18"/>
        <v>51.168919295097808</v>
      </c>
      <c r="L248" s="16">
        <f t="shared" ca="1" si="18"/>
        <v>24.628667597837843</v>
      </c>
    </row>
    <row r="249" spans="2:12" x14ac:dyDescent="0.3">
      <c r="B249" s="16">
        <f t="shared" si="16"/>
        <v>236</v>
      </c>
      <c r="C249" s="16">
        <f t="shared" ca="1" si="18"/>
        <v>38.116691100086939</v>
      </c>
      <c r="D249" s="16">
        <f t="shared" ca="1" si="18"/>
        <v>37.975564960049788</v>
      </c>
      <c r="E249" s="16">
        <f t="shared" ca="1" si="18"/>
        <v>27.89739716521504</v>
      </c>
      <c r="F249" s="16">
        <f t="shared" ca="1" si="18"/>
        <v>50.03777618484407</v>
      </c>
      <c r="G249" s="16">
        <f t="shared" ca="1" si="18"/>
        <v>40.910600158948505</v>
      </c>
      <c r="H249" s="16">
        <f t="shared" ca="1" si="18"/>
        <v>34.979616148619662</v>
      </c>
      <c r="I249" s="16">
        <f t="shared" ca="1" si="18"/>
        <v>35.336335107111651</v>
      </c>
      <c r="J249" s="16">
        <f t="shared" ca="1" si="18"/>
        <v>23.363549269563467</v>
      </c>
      <c r="K249" s="16">
        <f t="shared" ca="1" si="18"/>
        <v>51.604871264894783</v>
      </c>
      <c r="L249" s="16">
        <f t="shared" ca="1" si="18"/>
        <v>24.825192234516976</v>
      </c>
    </row>
    <row r="250" spans="2:12" x14ac:dyDescent="0.3">
      <c r="B250" s="16">
        <f t="shared" si="16"/>
        <v>237</v>
      </c>
      <c r="C250" s="16">
        <f t="shared" ca="1" si="18"/>
        <v>38.513382263987829</v>
      </c>
      <c r="D250" s="16">
        <f t="shared" ca="1" si="18"/>
        <v>37.35812651642545</v>
      </c>
      <c r="E250" s="16">
        <f t="shared" ca="1" si="18"/>
        <v>27.188529229732946</v>
      </c>
      <c r="F250" s="16">
        <f t="shared" ca="1" si="18"/>
        <v>49.556371559589046</v>
      </c>
      <c r="G250" s="16">
        <f t="shared" ca="1" si="18"/>
        <v>42.445195568942744</v>
      </c>
      <c r="H250" s="16">
        <f t="shared" ca="1" si="18"/>
        <v>34.459240671488722</v>
      </c>
      <c r="I250" s="16">
        <f t="shared" ca="1" si="18"/>
        <v>35.954583613032</v>
      </c>
      <c r="J250" s="16">
        <f t="shared" ca="1" si="18"/>
        <v>22.635958151053838</v>
      </c>
      <c r="K250" s="16">
        <f t="shared" ca="1" si="18"/>
        <v>51.468930056241902</v>
      </c>
      <c r="L250" s="16">
        <f t="shared" ca="1" si="18"/>
        <v>24.683473025371587</v>
      </c>
    </row>
    <row r="251" spans="2:12" x14ac:dyDescent="0.3">
      <c r="B251" s="16">
        <f t="shared" si="16"/>
        <v>238</v>
      </c>
      <c r="C251" s="16">
        <f t="shared" ca="1" si="18"/>
        <v>38.622688097294834</v>
      </c>
      <c r="D251" s="16">
        <f t="shared" ca="1" si="18"/>
        <v>37.209676194827033</v>
      </c>
      <c r="E251" s="16">
        <f t="shared" ca="1" si="18"/>
        <v>27.935987883538488</v>
      </c>
      <c r="F251" s="16">
        <f t="shared" ca="1" si="18"/>
        <v>50.18586071682958</v>
      </c>
      <c r="G251" s="16">
        <f t="shared" ca="1" si="18"/>
        <v>43.8922841763262</v>
      </c>
      <c r="H251" s="16">
        <f t="shared" ca="1" si="18"/>
        <v>35.246837975986118</v>
      </c>
      <c r="I251" s="16">
        <f t="shared" ca="1" si="18"/>
        <v>35.491047897447167</v>
      </c>
      <c r="J251" s="16">
        <f t="shared" ca="1" si="18"/>
        <v>23.335732702691757</v>
      </c>
      <c r="K251" s="16">
        <f t="shared" ca="1" si="18"/>
        <v>51.213256747230481</v>
      </c>
      <c r="L251" s="16">
        <f t="shared" ca="1" si="18"/>
        <v>25.083923332080516</v>
      </c>
    </row>
    <row r="252" spans="2:12" x14ac:dyDescent="0.3">
      <c r="B252" s="16">
        <f t="shared" si="16"/>
        <v>239</v>
      </c>
      <c r="C252" s="16">
        <f t="shared" ca="1" si="18"/>
        <v>39.489514115290831</v>
      </c>
      <c r="D252" s="16">
        <f t="shared" ca="1" si="18"/>
        <v>36.357657268963841</v>
      </c>
      <c r="E252" s="16">
        <f t="shared" ca="1" si="18"/>
        <v>27.550543206871303</v>
      </c>
      <c r="F252" s="16">
        <f t="shared" ca="1" si="18"/>
        <v>49.791465803626295</v>
      </c>
      <c r="G252" s="16">
        <f t="shared" ca="1" si="18"/>
        <v>45.122677976971154</v>
      </c>
      <c r="H252" s="16">
        <f t="shared" ca="1" si="18"/>
        <v>34.324195572173522</v>
      </c>
      <c r="I252" s="16">
        <f t="shared" ca="1" si="18"/>
        <v>35.891563869113241</v>
      </c>
      <c r="J252" s="16">
        <f t="shared" ca="1" si="18"/>
        <v>22.131238421082493</v>
      </c>
      <c r="K252" s="16">
        <f t="shared" ca="1" si="18"/>
        <v>50.491438304565726</v>
      </c>
      <c r="L252" s="16">
        <f t="shared" ca="1" si="18"/>
        <v>24.814183506163864</v>
      </c>
    </row>
    <row r="253" spans="2:12" x14ac:dyDescent="0.3">
      <c r="B253" s="16">
        <f t="shared" si="16"/>
        <v>240</v>
      </c>
      <c r="C253" s="16">
        <f t="shared" ca="1" si="18"/>
        <v>40.771080263286848</v>
      </c>
      <c r="D253" s="16">
        <f t="shared" ca="1" si="18"/>
        <v>37.521463962140949</v>
      </c>
      <c r="E253" s="16">
        <f t="shared" ca="1" si="18"/>
        <v>28.668749201932084</v>
      </c>
      <c r="F253" s="16">
        <f t="shared" ca="1" si="18"/>
        <v>49.390479605897674</v>
      </c>
      <c r="G253" s="16">
        <f t="shared" ca="1" si="18"/>
        <v>45.337570118951213</v>
      </c>
      <c r="H253" s="16">
        <f t="shared" ca="1" si="18"/>
        <v>34.260343582951812</v>
      </c>
      <c r="I253" s="16">
        <f t="shared" ca="1" si="18"/>
        <v>36.064955065142904</v>
      </c>
      <c r="J253" s="16">
        <f t="shared" ca="1" si="18"/>
        <v>21.380317151684803</v>
      </c>
      <c r="K253" s="16">
        <f t="shared" ca="1" si="18"/>
        <v>50.039369979963872</v>
      </c>
      <c r="L253" s="16">
        <f t="shared" ca="1" si="18"/>
        <v>24.852455137659788</v>
      </c>
    </row>
    <row r="254" spans="2:12" x14ac:dyDescent="0.3">
      <c r="B254" s="16">
        <f t="shared" si="16"/>
        <v>241</v>
      </c>
      <c r="C254" s="16">
        <f t="shared" ref="C254:L263" ca="1" si="19">C253*EXP(($E$5-0.5*$E$6*$E$6)*$E$7+$E$6*SQRT($E$7)*_xlfn.NORM.S.INV(RAND()))</f>
        <v>41.224613046651314</v>
      </c>
      <c r="D254" s="16">
        <f t="shared" ca="1" si="19"/>
        <v>37.793601264605449</v>
      </c>
      <c r="E254" s="16">
        <f t="shared" ca="1" si="19"/>
        <v>28.178037689262823</v>
      </c>
      <c r="F254" s="16">
        <f t="shared" ca="1" si="19"/>
        <v>49.218931424290538</v>
      </c>
      <c r="G254" s="16">
        <f t="shared" ca="1" si="19"/>
        <v>46.327914093006875</v>
      </c>
      <c r="H254" s="16">
        <f t="shared" ca="1" si="19"/>
        <v>34.826087034439645</v>
      </c>
      <c r="I254" s="16">
        <f t="shared" ca="1" si="19"/>
        <v>36.337382689315007</v>
      </c>
      <c r="J254" s="16">
        <f t="shared" ca="1" si="19"/>
        <v>21.081258205688428</v>
      </c>
      <c r="K254" s="16">
        <f t="shared" ca="1" si="19"/>
        <v>50.582925504655442</v>
      </c>
      <c r="L254" s="16">
        <f t="shared" ca="1" si="19"/>
        <v>24.486755242065321</v>
      </c>
    </row>
    <row r="255" spans="2:12" x14ac:dyDescent="0.3">
      <c r="B255" s="16">
        <f t="shared" si="16"/>
        <v>242</v>
      </c>
      <c r="C255" s="16">
        <f t="shared" ca="1" si="19"/>
        <v>40.19153403483989</v>
      </c>
      <c r="D255" s="16">
        <f t="shared" ca="1" si="19"/>
        <v>37.958391504705709</v>
      </c>
      <c r="E255" s="16">
        <f t="shared" ca="1" si="19"/>
        <v>28.628369251061255</v>
      </c>
      <c r="F255" s="16">
        <f t="shared" ca="1" si="19"/>
        <v>49.063452797365713</v>
      </c>
      <c r="G255" s="16">
        <f t="shared" ca="1" si="19"/>
        <v>45.770717266796836</v>
      </c>
      <c r="H255" s="16">
        <f t="shared" ca="1" si="19"/>
        <v>34.459352378312687</v>
      </c>
      <c r="I255" s="16">
        <f t="shared" ca="1" si="19"/>
        <v>35.700135895950133</v>
      </c>
      <c r="J255" s="16">
        <f t="shared" ca="1" si="19"/>
        <v>21.303229376689579</v>
      </c>
      <c r="K255" s="16">
        <f t="shared" ca="1" si="19"/>
        <v>50.79308466057293</v>
      </c>
      <c r="L255" s="16">
        <f t="shared" ca="1" si="19"/>
        <v>24.288874332161662</v>
      </c>
    </row>
    <row r="256" spans="2:12" x14ac:dyDescent="0.3">
      <c r="B256" s="16">
        <f>B255+1</f>
        <v>243</v>
      </c>
      <c r="C256" s="16">
        <f t="shared" ca="1" si="19"/>
        <v>42.63035208817648</v>
      </c>
      <c r="D256" s="16">
        <f t="shared" ca="1" si="19"/>
        <v>37.315246627188721</v>
      </c>
      <c r="E256" s="16">
        <f t="shared" ca="1" si="19"/>
        <v>28.292377366258378</v>
      </c>
      <c r="F256" s="16">
        <f t="shared" ca="1" si="19"/>
        <v>48.046988694138292</v>
      </c>
      <c r="G256" s="16">
        <f t="shared" ca="1" si="19"/>
        <v>45.687803716464387</v>
      </c>
      <c r="H256" s="16">
        <f t="shared" ca="1" si="19"/>
        <v>34.145094755154481</v>
      </c>
      <c r="I256" s="16">
        <f t="shared" ca="1" si="19"/>
        <v>35.497214933193987</v>
      </c>
      <c r="J256" s="16">
        <f t="shared" ca="1" si="19"/>
        <v>21.515904327129217</v>
      </c>
      <c r="K256" s="16">
        <f t="shared" ca="1" si="19"/>
        <v>49.663677483645515</v>
      </c>
      <c r="L256" s="16">
        <f t="shared" ca="1" si="19"/>
        <v>24.629171989691102</v>
      </c>
    </row>
    <row r="257" spans="1:12" x14ac:dyDescent="0.3">
      <c r="B257" s="16">
        <f t="shared" ref="B257:B262" si="20">B256+1</f>
        <v>244</v>
      </c>
      <c r="C257" s="16">
        <f t="shared" ca="1" si="19"/>
        <v>43.296338669798516</v>
      </c>
      <c r="D257" s="16">
        <f t="shared" ca="1" si="19"/>
        <v>37.573899947847465</v>
      </c>
      <c r="E257" s="16">
        <f t="shared" ca="1" si="19"/>
        <v>28.589383223903042</v>
      </c>
      <c r="F257" s="16">
        <f t="shared" ca="1" si="19"/>
        <v>47.91909129959835</v>
      </c>
      <c r="G257" s="16">
        <f t="shared" ca="1" si="19"/>
        <v>45.123547118006826</v>
      </c>
      <c r="H257" s="16">
        <f t="shared" ca="1" si="19"/>
        <v>34.11395052770699</v>
      </c>
      <c r="I257" s="16">
        <f t="shared" ca="1" si="19"/>
        <v>35.118689069902658</v>
      </c>
      <c r="J257" s="16">
        <f t="shared" ca="1" si="19"/>
        <v>22.372544245061356</v>
      </c>
      <c r="K257" s="16">
        <f t="shared" ca="1" si="19"/>
        <v>50.136413863030377</v>
      </c>
      <c r="L257" s="16">
        <f t="shared" ca="1" si="19"/>
        <v>24.989817586501044</v>
      </c>
    </row>
    <row r="258" spans="1:12" x14ac:dyDescent="0.3">
      <c r="B258" s="16">
        <f t="shared" si="20"/>
        <v>245</v>
      </c>
      <c r="C258" s="16">
        <f t="shared" ca="1" si="19"/>
        <v>42.573522972957839</v>
      </c>
      <c r="D258" s="16">
        <f t="shared" ca="1" si="19"/>
        <v>37.978824352756298</v>
      </c>
      <c r="E258" s="16">
        <f t="shared" ca="1" si="19"/>
        <v>27.894643214918624</v>
      </c>
      <c r="F258" s="16">
        <f t="shared" ca="1" si="19"/>
        <v>46.591856868103051</v>
      </c>
      <c r="G258" s="16">
        <f t="shared" ca="1" si="19"/>
        <v>45.712909255980804</v>
      </c>
      <c r="H258" s="16">
        <f t="shared" ca="1" si="19"/>
        <v>33.525591016063515</v>
      </c>
      <c r="I258" s="16">
        <f t="shared" ca="1" si="19"/>
        <v>36.011542050170071</v>
      </c>
      <c r="J258" s="16">
        <f t="shared" ca="1" si="19"/>
        <v>22.391575688956802</v>
      </c>
      <c r="K258" s="16">
        <f t="shared" ca="1" si="19"/>
        <v>50.569982068254703</v>
      </c>
      <c r="L258" s="16">
        <f t="shared" ca="1" si="19"/>
        <v>25.105067758096016</v>
      </c>
    </row>
    <row r="259" spans="1:12" x14ac:dyDescent="0.3">
      <c r="B259" s="16">
        <f t="shared" si="20"/>
        <v>246</v>
      </c>
      <c r="C259" s="16">
        <f t="shared" ca="1" si="19"/>
        <v>42.481521711312304</v>
      </c>
      <c r="D259" s="16">
        <f t="shared" ca="1" si="19"/>
        <v>38.12286644075504</v>
      </c>
      <c r="E259" s="16">
        <f t="shared" ca="1" si="19"/>
        <v>28.84498640167196</v>
      </c>
      <c r="F259" s="16">
        <f t="shared" ca="1" si="19"/>
        <v>46.019279160428077</v>
      </c>
      <c r="G259" s="16">
        <f t="shared" ca="1" si="19"/>
        <v>45.745511251124</v>
      </c>
      <c r="H259" s="16">
        <f t="shared" ca="1" si="19"/>
        <v>33.396023982787369</v>
      </c>
      <c r="I259" s="16">
        <f t="shared" ca="1" si="19"/>
        <v>34.245087401304659</v>
      </c>
      <c r="J259" s="16">
        <f t="shared" ca="1" si="19"/>
        <v>22.448115136954542</v>
      </c>
      <c r="K259" s="16">
        <f t="shared" ca="1" si="19"/>
        <v>50.024585533516593</v>
      </c>
      <c r="L259" s="16">
        <f t="shared" ca="1" si="19"/>
        <v>25.13584112000224</v>
      </c>
    </row>
    <row r="260" spans="1:12" x14ac:dyDescent="0.3">
      <c r="B260" s="16">
        <f t="shared" si="20"/>
        <v>247</v>
      </c>
      <c r="C260" s="16">
        <f t="shared" ca="1" si="19"/>
        <v>42.642166520046743</v>
      </c>
      <c r="D260" s="16">
        <f t="shared" ca="1" si="19"/>
        <v>37.775013858849306</v>
      </c>
      <c r="E260" s="16">
        <f t="shared" ca="1" si="19"/>
        <v>28.526296394081456</v>
      </c>
      <c r="F260" s="16">
        <f t="shared" ca="1" si="19"/>
        <v>45.806428823289806</v>
      </c>
      <c r="G260" s="16">
        <f t="shared" ca="1" si="19"/>
        <v>44.262063531266463</v>
      </c>
      <c r="H260" s="16">
        <f t="shared" ca="1" si="19"/>
        <v>32.709837989653735</v>
      </c>
      <c r="I260" s="16">
        <f t="shared" ca="1" si="19"/>
        <v>34.437784672442724</v>
      </c>
      <c r="J260" s="16">
        <f t="shared" ca="1" si="19"/>
        <v>22.561824571245943</v>
      </c>
      <c r="K260" s="16">
        <f t="shared" ca="1" si="19"/>
        <v>49.300052511327912</v>
      </c>
      <c r="L260" s="16">
        <f t="shared" ca="1" si="19"/>
        <v>25.178464357164156</v>
      </c>
    </row>
    <row r="261" spans="1:12" x14ac:dyDescent="0.3">
      <c r="B261" s="16">
        <f t="shared" si="20"/>
        <v>248</v>
      </c>
      <c r="C261" s="16">
        <f t="shared" ca="1" si="19"/>
        <v>41.038953064609132</v>
      </c>
      <c r="D261" s="16">
        <f t="shared" ca="1" si="19"/>
        <v>36.533388924529319</v>
      </c>
      <c r="E261" s="16">
        <f t="shared" ca="1" si="19"/>
        <v>28.299885333170387</v>
      </c>
      <c r="F261" s="16">
        <f t="shared" ca="1" si="19"/>
        <v>44.522560389299052</v>
      </c>
      <c r="G261" s="16">
        <f t="shared" ca="1" si="19"/>
        <v>46.0158290673292</v>
      </c>
      <c r="H261" s="16">
        <f t="shared" ca="1" si="19"/>
        <v>32.775919631123834</v>
      </c>
      <c r="I261" s="16">
        <f t="shared" ca="1" si="19"/>
        <v>33.666882690411157</v>
      </c>
      <c r="J261" s="16">
        <f t="shared" ca="1" si="19"/>
        <v>22.430463906691681</v>
      </c>
      <c r="K261" s="16">
        <f t="shared" ca="1" si="19"/>
        <v>49.885414634839925</v>
      </c>
      <c r="L261" s="16">
        <f t="shared" ca="1" si="19"/>
        <v>25.538437209483785</v>
      </c>
    </row>
    <row r="262" spans="1:12" x14ac:dyDescent="0.3">
      <c r="B262" s="16">
        <f t="shared" si="20"/>
        <v>249</v>
      </c>
      <c r="C262" s="16">
        <f t="shared" ca="1" si="19"/>
        <v>42.861375668232341</v>
      </c>
      <c r="D262" s="16">
        <f t="shared" ca="1" si="19"/>
        <v>36.396742395376393</v>
      </c>
      <c r="E262" s="16">
        <f t="shared" ca="1" si="19"/>
        <v>28.163716883445623</v>
      </c>
      <c r="F262" s="16">
        <f t="shared" ca="1" si="19"/>
        <v>45.707898706641174</v>
      </c>
      <c r="G262" s="16">
        <f t="shared" ca="1" si="19"/>
        <v>46.602257502644221</v>
      </c>
      <c r="H262" s="16">
        <f t="shared" ca="1" si="19"/>
        <v>32.741918539090037</v>
      </c>
      <c r="I262" s="16">
        <f t="shared" ca="1" si="19"/>
        <v>34.171710889407947</v>
      </c>
      <c r="J262" s="16">
        <f t="shared" ca="1" si="19"/>
        <v>21.706268541455465</v>
      </c>
      <c r="K262" s="16">
        <f t="shared" ca="1" si="19"/>
        <v>48.629027269873617</v>
      </c>
      <c r="L262" s="16">
        <f t="shared" ca="1" si="19"/>
        <v>25.163329793474148</v>
      </c>
    </row>
    <row r="263" spans="1:12" x14ac:dyDescent="0.3">
      <c r="B263" s="16">
        <f>B262+1</f>
        <v>250</v>
      </c>
      <c r="C263" s="16">
        <f t="shared" ca="1" si="19"/>
        <v>43.036878598964037</v>
      </c>
      <c r="D263" s="16">
        <f t="shared" ca="1" si="19"/>
        <v>37.211711767135242</v>
      </c>
      <c r="E263" s="16">
        <f t="shared" ca="1" si="19"/>
        <v>27.885424240158329</v>
      </c>
      <c r="F263" s="16">
        <f t="shared" ca="1" si="19"/>
        <v>45.455245518403679</v>
      </c>
      <c r="G263" s="16">
        <f t="shared" ca="1" si="19"/>
        <v>46.32237697542584</v>
      </c>
      <c r="H263" s="16">
        <f t="shared" ca="1" si="19"/>
        <v>32.541677424324654</v>
      </c>
      <c r="I263" s="16">
        <f t="shared" ca="1" si="19"/>
        <v>34.501212358961006</v>
      </c>
      <c r="J263" s="16">
        <f t="shared" ca="1" si="19"/>
        <v>21.551827871693348</v>
      </c>
      <c r="K263" s="16">
        <f t="shared" ca="1" si="19"/>
        <v>47.559133905733866</v>
      </c>
      <c r="L263" s="16">
        <f t="shared" ca="1" si="19"/>
        <v>25.929756566233163</v>
      </c>
    </row>
    <row r="265" spans="1:12" x14ac:dyDescent="0.3">
      <c r="A265" s="16" t="s">
        <v>172</v>
      </c>
      <c r="C265" s="16">
        <f ca="1">MAX(C263-$E$8,0)</f>
        <v>18.036878598964037</v>
      </c>
      <c r="D265" s="16">
        <f ca="1">MAX(D263-$E$8,0)</f>
        <v>12.211711767135242</v>
      </c>
      <c r="E265" s="16">
        <f ca="1">MAX(C263-$E$8,0)</f>
        <v>18.036878598964037</v>
      </c>
      <c r="F265" s="16">
        <f>MAX(F363-$E$8,0)</f>
        <v>0</v>
      </c>
      <c r="G265" s="16">
        <f t="shared" ref="G265:L265" ca="1" si="21">MAX(G263-$E$8,0)</f>
        <v>21.32237697542584</v>
      </c>
      <c r="H265" s="16">
        <f t="shared" ca="1" si="21"/>
        <v>7.5416774243246536</v>
      </c>
      <c r="I265" s="16">
        <f t="shared" ca="1" si="21"/>
        <v>9.5012123589610056</v>
      </c>
      <c r="J265" s="16">
        <f t="shared" ca="1" si="21"/>
        <v>0</v>
      </c>
      <c r="K265" s="16">
        <f t="shared" ca="1" si="21"/>
        <v>22.559133905733866</v>
      </c>
      <c r="L265" s="16">
        <f t="shared" ca="1" si="21"/>
        <v>0.92975656623316283</v>
      </c>
    </row>
    <row r="266" spans="1:12" x14ac:dyDescent="0.3">
      <c r="A266" s="16" t="s">
        <v>173</v>
      </c>
    </row>
    <row r="268" spans="1:12" x14ac:dyDescent="0.3">
      <c r="A268" s="16" t="s">
        <v>174</v>
      </c>
      <c r="C268" s="16">
        <f ca="1">AVERAGE(C265:L265)</f>
        <v>11.013962619574183</v>
      </c>
    </row>
    <row r="269" spans="1:12" x14ac:dyDescent="0.3">
      <c r="A269" s="16" t="s">
        <v>175</v>
      </c>
      <c r="C269" s="16">
        <f ca="1">EXP(-$E$9*$F$10)*C268</f>
        <v>9.9658454990400767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7A431-B96F-4EFE-8530-AF68D82FB0A0}">
  <dimension ref="A1:G11"/>
  <sheetViews>
    <sheetView workbookViewId="0">
      <selection activeCell="J11" sqref="J11"/>
    </sheetView>
  </sheetViews>
  <sheetFormatPr defaultRowHeight="14.4" x14ac:dyDescent="0.3"/>
  <cols>
    <col min="1" max="1" width="21.21875" style="16" customWidth="1"/>
    <col min="2" max="2" width="8.88671875" style="16"/>
    <col min="3" max="3" width="13" style="16" customWidth="1"/>
    <col min="4" max="4" width="10.44140625" style="16" customWidth="1"/>
    <col min="5" max="16384" width="8.88671875" style="16"/>
  </cols>
  <sheetData>
    <row r="1" spans="1:7" ht="25.8" x14ac:dyDescent="0.3">
      <c r="A1" s="23" t="s">
        <v>176</v>
      </c>
      <c r="B1" s="23"/>
      <c r="C1" s="23"/>
      <c r="D1" s="23"/>
      <c r="E1" s="23"/>
      <c r="F1" s="23"/>
    </row>
    <row r="3" spans="1:7" x14ac:dyDescent="0.3">
      <c r="A3" s="14" t="s">
        <v>80</v>
      </c>
      <c r="B3" s="16">
        <v>30</v>
      </c>
    </row>
    <row r="4" spans="1:7" x14ac:dyDescent="0.3">
      <c r="A4" s="14" t="s">
        <v>78</v>
      </c>
      <c r="B4" s="16">
        <v>25</v>
      </c>
      <c r="D4" s="16" t="s">
        <v>177</v>
      </c>
      <c r="E4" s="16">
        <f>(LN(B3/B4)+(B6+(B5^2)/2)*B7)/(B5*SQRT(B7))</f>
        <v>1.0910718559798487</v>
      </c>
    </row>
    <row r="5" spans="1:7" x14ac:dyDescent="0.3">
      <c r="A5" s="14" t="s">
        <v>178</v>
      </c>
      <c r="B5" s="2">
        <v>0.3</v>
      </c>
      <c r="D5" s="16" t="s">
        <v>179</v>
      </c>
      <c r="E5" s="16">
        <f>(LN(B3/B4)+(B6-(B5^2)/2)*B7)/(B5*SQRT(B7))</f>
        <v>0.79107185597984875</v>
      </c>
    </row>
    <row r="6" spans="1:7" x14ac:dyDescent="0.3">
      <c r="A6" s="14" t="s">
        <v>180</v>
      </c>
      <c r="B6" s="2">
        <v>0.1</v>
      </c>
    </row>
    <row r="7" spans="1:7" x14ac:dyDescent="0.3">
      <c r="A7" s="14" t="s">
        <v>181</v>
      </c>
      <c r="B7" s="16">
        <v>1</v>
      </c>
      <c r="C7" s="16" t="s">
        <v>182</v>
      </c>
      <c r="D7" s="16" t="s">
        <v>183</v>
      </c>
      <c r="E7" s="16">
        <f>NORMSDIST(E4)</f>
        <v>0.86237936717067099</v>
      </c>
      <c r="F7" s="16" t="s">
        <v>184</v>
      </c>
      <c r="G7" s="16">
        <f>NORMSDIST(-E4)</f>
        <v>0.13762063282932899</v>
      </c>
    </row>
    <row r="8" spans="1:7" x14ac:dyDescent="0.3">
      <c r="D8" s="16" t="s">
        <v>185</v>
      </c>
      <c r="E8" s="16">
        <f>NORMSDIST(E5)</f>
        <v>0.78554896929810647</v>
      </c>
      <c r="F8" s="16" t="s">
        <v>186</v>
      </c>
      <c r="G8" s="16">
        <f>NORMSDIST(-E5)</f>
        <v>0.21445103070189356</v>
      </c>
    </row>
    <row r="10" spans="1:7" x14ac:dyDescent="0.3">
      <c r="D10" s="16" t="s">
        <v>79</v>
      </c>
      <c r="E10" s="16">
        <f>B3*E7-B4*EXP(-B6*B7)*E8</f>
        <v>8.1015284871074336</v>
      </c>
    </row>
    <row r="11" spans="1:7" x14ac:dyDescent="0.3">
      <c r="D11" s="16" t="s">
        <v>187</v>
      </c>
      <c r="E11" s="16">
        <f>B4*EXP(-B6*B7)*(G8)-B3*(G7)</f>
        <v>0.72246393800642128</v>
      </c>
    </row>
  </sheetData>
  <mergeCells count="1">
    <mergeCell ref="A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BEB1-FD7C-4AC1-8BF0-BDE6A0508E90}">
  <dimension ref="A1:O100"/>
  <sheetViews>
    <sheetView workbookViewId="0">
      <selection activeCell="E12" sqref="E12"/>
    </sheetView>
  </sheetViews>
  <sheetFormatPr defaultColWidth="14.44140625" defaultRowHeight="14.4" x14ac:dyDescent="0.3"/>
  <cols>
    <col min="1" max="1" width="13.33203125" style="16" customWidth="1"/>
    <col min="2" max="2" width="10.33203125" style="16" customWidth="1"/>
    <col min="3" max="3" width="8.6640625" style="16" customWidth="1"/>
    <col min="4" max="4" width="15.44140625" style="16" customWidth="1"/>
    <col min="5" max="5" width="13.33203125" style="16" customWidth="1"/>
    <col min="6" max="6" width="15.5546875" style="16" customWidth="1"/>
    <col min="7" max="7" width="12.6640625" style="16" customWidth="1"/>
    <col min="8" max="8" width="12.33203125" style="16" customWidth="1"/>
    <col min="9" max="15" width="8.6640625" style="16" customWidth="1"/>
    <col min="16" max="16384" width="14.44140625" style="16"/>
  </cols>
  <sheetData>
    <row r="1" spans="1:15" ht="14.25" customHeight="1" x14ac:dyDescent="0.5">
      <c r="A1" s="24" t="s">
        <v>188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18" customHeight="1" x14ac:dyDescent="0.5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 ht="14.25" customHeight="1" x14ac:dyDescent="0.4">
      <c r="A3" s="28" t="s">
        <v>172</v>
      </c>
      <c r="B3" s="25"/>
    </row>
    <row r="4" spans="1:15" ht="14.25" customHeight="1" x14ac:dyDescent="0.3">
      <c r="A4" s="29" t="s">
        <v>189</v>
      </c>
      <c r="B4" s="16">
        <v>20</v>
      </c>
    </row>
    <row r="5" spans="1:15" ht="14.25" customHeight="1" x14ac:dyDescent="0.3">
      <c r="A5" s="16" t="s">
        <v>78</v>
      </c>
      <c r="B5" s="16">
        <v>50</v>
      </c>
    </row>
    <row r="6" spans="1:15" ht="27.75" customHeight="1" x14ac:dyDescent="0.3">
      <c r="A6" s="29" t="s">
        <v>190</v>
      </c>
      <c r="B6" s="30">
        <v>0.05</v>
      </c>
    </row>
    <row r="7" spans="1:15" ht="14.25" customHeight="1" x14ac:dyDescent="0.3">
      <c r="A7" s="29" t="s">
        <v>94</v>
      </c>
      <c r="B7" s="30">
        <v>0.2</v>
      </c>
    </row>
    <row r="8" spans="1:15" ht="14.25" customHeight="1" x14ac:dyDescent="0.3"/>
    <row r="9" spans="1:15" ht="14.25" customHeight="1" x14ac:dyDescent="0.3">
      <c r="A9" s="16" t="s">
        <v>191</v>
      </c>
      <c r="B9" s="16" t="s">
        <v>80</v>
      </c>
      <c r="C9" s="16" t="s">
        <v>188</v>
      </c>
      <c r="F9" s="29"/>
    </row>
    <row r="10" spans="1:15" ht="14.25" customHeight="1" x14ac:dyDescent="0.3">
      <c r="A10" s="16">
        <v>0</v>
      </c>
      <c r="B10" s="16">
        <v>49</v>
      </c>
      <c r="C10" s="16">
        <f t="shared" ref="C10:C30" si="0">_xlfn.NORM.S.DIST((LN(B10/$B$5)+($B$6+($B$7^2)/2)*($B$4/52))/($B$7*SQRT($B$4/52)),TRUE)</f>
        <v>0.52160466106639636</v>
      </c>
    </row>
    <row r="11" spans="1:15" ht="14.25" customHeight="1" x14ac:dyDescent="0.3">
      <c r="A11" s="16">
        <v>1</v>
      </c>
      <c r="B11" s="16">
        <v>48.12</v>
      </c>
      <c r="C11" s="16">
        <f t="shared" si="0"/>
        <v>0.46337835165832297</v>
      </c>
    </row>
    <row r="12" spans="1:15" ht="14.25" customHeight="1" x14ac:dyDescent="0.3">
      <c r="A12" s="16">
        <v>2</v>
      </c>
      <c r="B12" s="16">
        <v>47.37</v>
      </c>
      <c r="C12" s="16">
        <f t="shared" si="0"/>
        <v>0.41349081745300154</v>
      </c>
    </row>
    <row r="13" spans="1:15" ht="14.25" customHeight="1" x14ac:dyDescent="0.3">
      <c r="A13" s="16">
        <v>3</v>
      </c>
      <c r="B13" s="16">
        <v>50.25</v>
      </c>
      <c r="C13" s="16">
        <f t="shared" si="0"/>
        <v>0.60151545453128585</v>
      </c>
    </row>
    <row r="14" spans="1:15" ht="14.25" customHeight="1" x14ac:dyDescent="0.3">
      <c r="A14" s="16">
        <v>4</v>
      </c>
      <c r="B14" s="16">
        <v>51.75</v>
      </c>
      <c r="C14" s="16">
        <f t="shared" si="0"/>
        <v>0.68949306962488333</v>
      </c>
    </row>
    <row r="15" spans="1:15" ht="14.25" customHeight="1" x14ac:dyDescent="0.3">
      <c r="A15" s="16">
        <v>5</v>
      </c>
      <c r="B15" s="16">
        <v>53.12</v>
      </c>
      <c r="C15" s="16">
        <f t="shared" si="0"/>
        <v>0.75961768184250689</v>
      </c>
    </row>
    <row r="16" spans="1:15" ht="14.25" customHeight="1" x14ac:dyDescent="0.3">
      <c r="A16" s="16">
        <v>6</v>
      </c>
      <c r="B16" s="16">
        <v>53</v>
      </c>
      <c r="C16" s="16">
        <f t="shared" si="0"/>
        <v>0.75390813848551208</v>
      </c>
    </row>
    <row r="17" spans="1:3" ht="14.25" customHeight="1" x14ac:dyDescent="0.3">
      <c r="A17" s="16">
        <v>7</v>
      </c>
      <c r="B17" s="16">
        <v>51.87</v>
      </c>
      <c r="C17" s="16">
        <f t="shared" si="0"/>
        <v>0.69605490860145236</v>
      </c>
    </row>
    <row r="18" spans="1:3" ht="14.25" customHeight="1" x14ac:dyDescent="0.3">
      <c r="A18" s="16">
        <v>8</v>
      </c>
      <c r="B18" s="16">
        <v>51.38</v>
      </c>
      <c r="C18" s="16">
        <f t="shared" si="0"/>
        <v>0.66878610497684243</v>
      </c>
    </row>
    <row r="19" spans="1:3" ht="14.25" customHeight="1" x14ac:dyDescent="0.3">
      <c r="A19" s="16">
        <v>9</v>
      </c>
      <c r="B19" s="16">
        <v>53</v>
      </c>
      <c r="C19" s="16">
        <f t="shared" si="0"/>
        <v>0.75390813848551208</v>
      </c>
    </row>
    <row r="20" spans="1:3" ht="14.25" customHeight="1" x14ac:dyDescent="0.3">
      <c r="A20" s="16">
        <v>10</v>
      </c>
      <c r="B20" s="16">
        <v>49.88</v>
      </c>
      <c r="C20" s="16">
        <f t="shared" si="0"/>
        <v>0.57835545367519581</v>
      </c>
    </row>
    <row r="21" spans="1:3" ht="14.25" customHeight="1" x14ac:dyDescent="0.3">
      <c r="A21" s="16">
        <v>11</v>
      </c>
      <c r="B21" s="16">
        <v>48.5</v>
      </c>
      <c r="C21" s="16">
        <f t="shared" si="0"/>
        <v>0.48862801682429241</v>
      </c>
    </row>
    <row r="22" spans="1:3" ht="14.25" customHeight="1" x14ac:dyDescent="0.3">
      <c r="A22" s="16">
        <v>12</v>
      </c>
      <c r="B22" s="16">
        <v>49.88</v>
      </c>
      <c r="C22" s="16">
        <f t="shared" si="0"/>
        <v>0.57835545367519581</v>
      </c>
    </row>
    <row r="23" spans="1:3" ht="14.25" customHeight="1" x14ac:dyDescent="0.3">
      <c r="A23" s="16">
        <v>13</v>
      </c>
      <c r="B23" s="16">
        <v>50.37</v>
      </c>
      <c r="C23" s="16">
        <f t="shared" si="0"/>
        <v>0.60891867333990368</v>
      </c>
    </row>
    <row r="24" spans="1:3" ht="14.25" customHeight="1" x14ac:dyDescent="0.3">
      <c r="A24" s="16">
        <v>14</v>
      </c>
      <c r="B24" s="16">
        <v>52.13</v>
      </c>
      <c r="C24" s="16">
        <f t="shared" si="0"/>
        <v>0.7100048114814782</v>
      </c>
    </row>
    <row r="25" spans="1:3" ht="14.25" customHeight="1" x14ac:dyDescent="0.3">
      <c r="A25" s="16">
        <v>15</v>
      </c>
      <c r="B25" s="16">
        <v>51.88</v>
      </c>
      <c r="C25" s="16">
        <f t="shared" si="0"/>
        <v>0.69659824577235285</v>
      </c>
    </row>
    <row r="26" spans="1:3" ht="14.25" customHeight="1" x14ac:dyDescent="0.3">
      <c r="A26" s="16">
        <v>16</v>
      </c>
      <c r="B26" s="16">
        <v>52.87</v>
      </c>
      <c r="C26" s="16">
        <f t="shared" si="0"/>
        <v>0.74762674008025898</v>
      </c>
    </row>
    <row r="27" spans="1:3" ht="14.25" customHeight="1" x14ac:dyDescent="0.3">
      <c r="A27" s="16">
        <v>17</v>
      </c>
      <c r="B27" s="16">
        <v>54.87</v>
      </c>
      <c r="C27" s="16">
        <f t="shared" si="0"/>
        <v>0.83307727243593932</v>
      </c>
    </row>
    <row r="28" spans="1:3" ht="14.25" customHeight="1" x14ac:dyDescent="0.3">
      <c r="A28" s="16">
        <v>18</v>
      </c>
      <c r="B28" s="16">
        <v>54.62</v>
      </c>
      <c r="C28" s="16">
        <f t="shared" si="0"/>
        <v>0.82370566276177359</v>
      </c>
    </row>
    <row r="29" spans="1:3" ht="14.25" customHeight="1" x14ac:dyDescent="0.3">
      <c r="A29" s="16">
        <v>19</v>
      </c>
      <c r="B29" s="16">
        <v>55.87</v>
      </c>
      <c r="C29" s="16">
        <f t="shared" si="0"/>
        <v>0.86693267555682763</v>
      </c>
    </row>
    <row r="30" spans="1:3" ht="14.25" customHeight="1" x14ac:dyDescent="0.3">
      <c r="A30" s="16">
        <v>20</v>
      </c>
      <c r="B30" s="16">
        <v>57.25</v>
      </c>
      <c r="C30" s="16">
        <f t="shared" si="0"/>
        <v>0.90468672609600609</v>
      </c>
    </row>
    <row r="31" spans="1:3" ht="14.25" customHeight="1" x14ac:dyDescent="0.3"/>
    <row r="32" spans="1:3" ht="14.25" customHeight="1" x14ac:dyDescent="0.3"/>
    <row r="33" s="16" customFormat="1" ht="14.25" customHeight="1" x14ac:dyDescent="0.3"/>
    <row r="34" s="16" customFormat="1" ht="14.25" customHeight="1" x14ac:dyDescent="0.3"/>
    <row r="35" s="16" customFormat="1" ht="14.25" customHeight="1" x14ac:dyDescent="0.3"/>
    <row r="36" s="16" customFormat="1" ht="14.25" customHeight="1" x14ac:dyDescent="0.3"/>
    <row r="37" s="16" customFormat="1" ht="14.25" customHeight="1" x14ac:dyDescent="0.3"/>
    <row r="38" s="16" customFormat="1" ht="14.25" customHeight="1" x14ac:dyDescent="0.3"/>
    <row r="39" s="16" customFormat="1" ht="14.25" customHeight="1" x14ac:dyDescent="0.3"/>
    <row r="40" s="16" customFormat="1" ht="14.25" customHeight="1" x14ac:dyDescent="0.3"/>
    <row r="41" s="16" customFormat="1" ht="14.25" customHeight="1" x14ac:dyDescent="0.3"/>
    <row r="42" s="16" customFormat="1" ht="14.25" customHeight="1" x14ac:dyDescent="0.3"/>
    <row r="43" s="16" customFormat="1" ht="14.25" customHeight="1" x14ac:dyDescent="0.3"/>
    <row r="44" s="16" customFormat="1" ht="14.25" customHeight="1" x14ac:dyDescent="0.3"/>
    <row r="45" s="16" customFormat="1" ht="14.25" customHeight="1" x14ac:dyDescent="0.3"/>
    <row r="46" s="16" customFormat="1" ht="14.25" customHeight="1" x14ac:dyDescent="0.3"/>
    <row r="47" s="16" customFormat="1" ht="14.25" customHeight="1" x14ac:dyDescent="0.3"/>
    <row r="48" s="16" customFormat="1" ht="14.25" customHeight="1" x14ac:dyDescent="0.3"/>
    <row r="49" s="16" customFormat="1" ht="14.25" customHeight="1" x14ac:dyDescent="0.3"/>
    <row r="50" s="16" customFormat="1" ht="14.25" customHeight="1" x14ac:dyDescent="0.3"/>
    <row r="51" s="16" customFormat="1" ht="14.25" customHeight="1" x14ac:dyDescent="0.3"/>
    <row r="52" s="16" customFormat="1" ht="14.25" customHeight="1" x14ac:dyDescent="0.3"/>
    <row r="53" s="16" customFormat="1" ht="14.25" customHeight="1" x14ac:dyDescent="0.3"/>
    <row r="54" s="16" customFormat="1" ht="14.25" customHeight="1" x14ac:dyDescent="0.3"/>
    <row r="55" s="16" customFormat="1" ht="14.25" customHeight="1" x14ac:dyDescent="0.3"/>
    <row r="56" s="16" customFormat="1" ht="14.25" customHeight="1" x14ac:dyDescent="0.3"/>
    <row r="57" s="16" customFormat="1" ht="14.25" customHeight="1" x14ac:dyDescent="0.3"/>
    <row r="58" s="16" customFormat="1" ht="14.25" customHeight="1" x14ac:dyDescent="0.3"/>
    <row r="59" s="16" customFormat="1" ht="14.25" customHeight="1" x14ac:dyDescent="0.3"/>
    <row r="60" s="16" customFormat="1" ht="14.25" customHeight="1" x14ac:dyDescent="0.3"/>
    <row r="61" s="16" customFormat="1" ht="14.25" customHeight="1" x14ac:dyDescent="0.3"/>
    <row r="62" s="16" customFormat="1" ht="14.25" customHeight="1" x14ac:dyDescent="0.3"/>
    <row r="63" s="16" customFormat="1" ht="14.25" customHeight="1" x14ac:dyDescent="0.3"/>
    <row r="64" s="16" customFormat="1" ht="14.25" customHeight="1" x14ac:dyDescent="0.3"/>
    <row r="65" s="16" customFormat="1" ht="14.25" customHeight="1" x14ac:dyDescent="0.3"/>
    <row r="66" s="16" customFormat="1" ht="14.25" customHeight="1" x14ac:dyDescent="0.3"/>
    <row r="67" s="16" customFormat="1" ht="14.25" customHeight="1" x14ac:dyDescent="0.3"/>
    <row r="68" s="16" customFormat="1" ht="14.25" customHeight="1" x14ac:dyDescent="0.3"/>
    <row r="69" s="16" customFormat="1" ht="14.25" customHeight="1" x14ac:dyDescent="0.3"/>
    <row r="70" s="16" customFormat="1" ht="14.25" customHeight="1" x14ac:dyDescent="0.3"/>
    <row r="71" s="16" customFormat="1" ht="14.25" customHeight="1" x14ac:dyDescent="0.3"/>
    <row r="72" s="16" customFormat="1" ht="14.25" customHeight="1" x14ac:dyDescent="0.3"/>
    <row r="73" s="16" customFormat="1" ht="14.25" customHeight="1" x14ac:dyDescent="0.3"/>
    <row r="74" s="16" customFormat="1" ht="14.25" customHeight="1" x14ac:dyDescent="0.3"/>
    <row r="75" s="16" customFormat="1" ht="14.25" customHeight="1" x14ac:dyDescent="0.3"/>
    <row r="76" s="16" customFormat="1" ht="14.25" customHeight="1" x14ac:dyDescent="0.3"/>
    <row r="77" s="16" customFormat="1" ht="14.25" customHeight="1" x14ac:dyDescent="0.3"/>
    <row r="78" s="16" customFormat="1" ht="14.25" customHeight="1" x14ac:dyDescent="0.3"/>
    <row r="79" s="16" customFormat="1" ht="14.25" customHeight="1" x14ac:dyDescent="0.3"/>
    <row r="80" s="16" customFormat="1" ht="14.25" customHeight="1" x14ac:dyDescent="0.3"/>
    <row r="81" s="16" customFormat="1" ht="14.25" customHeight="1" x14ac:dyDescent="0.3"/>
    <row r="82" s="16" customFormat="1" ht="14.25" customHeight="1" x14ac:dyDescent="0.3"/>
    <row r="83" s="16" customFormat="1" ht="14.25" customHeight="1" x14ac:dyDescent="0.3"/>
    <row r="84" s="16" customFormat="1" ht="14.25" customHeight="1" x14ac:dyDescent="0.3"/>
    <row r="85" s="16" customFormat="1" ht="14.25" customHeight="1" x14ac:dyDescent="0.3"/>
    <row r="86" s="16" customFormat="1" ht="14.25" customHeight="1" x14ac:dyDescent="0.3"/>
    <row r="87" s="16" customFormat="1" ht="14.25" customHeight="1" x14ac:dyDescent="0.3"/>
    <row r="88" s="16" customFormat="1" ht="14.25" customHeight="1" x14ac:dyDescent="0.3"/>
    <row r="89" s="16" customFormat="1" ht="14.25" customHeight="1" x14ac:dyDescent="0.3"/>
    <row r="90" s="16" customFormat="1" ht="14.25" customHeight="1" x14ac:dyDescent="0.3"/>
    <row r="91" s="16" customFormat="1" ht="14.25" customHeight="1" x14ac:dyDescent="0.3"/>
    <row r="92" s="16" customFormat="1" ht="14.25" customHeight="1" x14ac:dyDescent="0.3"/>
    <row r="93" s="16" customFormat="1" ht="14.25" customHeight="1" x14ac:dyDescent="0.3"/>
    <row r="94" s="16" customFormat="1" ht="14.25" customHeight="1" x14ac:dyDescent="0.3"/>
    <row r="95" s="16" customFormat="1" ht="14.25" customHeight="1" x14ac:dyDescent="0.3"/>
    <row r="96" s="16" customFormat="1" ht="14.25" customHeight="1" x14ac:dyDescent="0.3"/>
    <row r="97" s="16" customFormat="1" ht="14.25" customHeight="1" x14ac:dyDescent="0.3"/>
    <row r="98" s="16" customFormat="1" ht="14.25" customHeight="1" x14ac:dyDescent="0.3"/>
    <row r="99" s="16" customFormat="1" ht="14.25" customHeight="1" x14ac:dyDescent="0.3"/>
    <row r="100" s="16" customFormat="1" ht="14.25" customHeight="1" x14ac:dyDescent="0.3"/>
  </sheetData>
  <mergeCells count="2">
    <mergeCell ref="A1:O1"/>
    <mergeCell ref="A3:B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1D7F-2AF6-471C-9DB9-0EC1C9DD17EC}">
  <dimension ref="A1:I100"/>
  <sheetViews>
    <sheetView workbookViewId="0">
      <selection activeCell="A15" sqref="A15:M27"/>
    </sheetView>
  </sheetViews>
  <sheetFormatPr defaultColWidth="14.44140625" defaultRowHeight="14.4" x14ac:dyDescent="0.3"/>
  <cols>
    <col min="1" max="1" width="13.109375" style="16" customWidth="1"/>
    <col min="2" max="2" width="8.6640625" style="16" customWidth="1"/>
    <col min="3" max="3" width="8.88671875" style="16" customWidth="1"/>
    <col min="4" max="11" width="8.6640625" style="16" customWidth="1"/>
    <col min="12" max="16384" width="14.44140625" style="16"/>
  </cols>
  <sheetData>
    <row r="1" spans="1:9" ht="14.25" customHeight="1" x14ac:dyDescent="0.5">
      <c r="A1" s="24" t="s">
        <v>192</v>
      </c>
      <c r="B1" s="25"/>
      <c r="C1" s="25"/>
      <c r="D1" s="25"/>
      <c r="E1" s="25"/>
      <c r="F1" s="25"/>
      <c r="G1" s="25"/>
      <c r="H1" s="25"/>
      <c r="I1" s="25"/>
    </row>
    <row r="2" spans="1:9" ht="14.25" customHeight="1" x14ac:dyDescent="0.3"/>
    <row r="3" spans="1:9" ht="14.25" customHeight="1" x14ac:dyDescent="0.4">
      <c r="A3" s="28" t="s">
        <v>172</v>
      </c>
      <c r="B3" s="25"/>
    </row>
    <row r="4" spans="1:9" ht="14.25" customHeight="1" x14ac:dyDescent="0.3">
      <c r="A4" s="29" t="s">
        <v>189</v>
      </c>
      <c r="B4" s="16">
        <v>20</v>
      </c>
    </row>
    <row r="5" spans="1:9" ht="14.25" customHeight="1" x14ac:dyDescent="0.3">
      <c r="A5" s="16" t="s">
        <v>78</v>
      </c>
      <c r="B5" s="16">
        <v>50</v>
      </c>
    </row>
    <row r="6" spans="1:9" ht="14.25" customHeight="1" x14ac:dyDescent="0.3">
      <c r="A6" s="29" t="s">
        <v>190</v>
      </c>
      <c r="B6" s="30">
        <v>0.05</v>
      </c>
    </row>
    <row r="7" spans="1:9" ht="14.25" customHeight="1" x14ac:dyDescent="0.3">
      <c r="A7" s="29" t="s">
        <v>94</v>
      </c>
      <c r="B7" s="30">
        <v>0.2</v>
      </c>
      <c r="D7" s="16" t="s">
        <v>177</v>
      </c>
      <c r="E7" s="16">
        <f>(LN(B8/$B$5)+($B$6+($B$7^2)/2)*($B$4/52))/($B$7*SQRT($B$4/52))</f>
        <v>5.4181351923835712E-2</v>
      </c>
    </row>
    <row r="8" spans="1:9" ht="14.25" customHeight="1" x14ac:dyDescent="0.3">
      <c r="A8" s="29" t="s">
        <v>80</v>
      </c>
      <c r="B8" s="16">
        <v>49</v>
      </c>
      <c r="D8" s="16" t="s">
        <v>179</v>
      </c>
      <c r="E8" s="16">
        <f>E7-B7*SQRT(B4/52)</f>
        <v>-6.9853382665372749E-2</v>
      </c>
    </row>
    <row r="9" spans="1:9" ht="14.25" customHeight="1" x14ac:dyDescent="0.3"/>
    <row r="10" spans="1:9" ht="14.25" customHeight="1" x14ac:dyDescent="0.3"/>
    <row r="11" spans="1:9" ht="14.25" customHeight="1" x14ac:dyDescent="0.3">
      <c r="B11" s="16" t="s">
        <v>193</v>
      </c>
      <c r="C11" s="16">
        <f>-(B8*_xlfn.NORM.S.DIST(E7,FALSE)*B7)/(2*SQRT($B$4/52))-B6*B5*EXP(-B6*(B4/52))*_xlfn.NORM.S.DIST(E8,TRUE)</f>
        <v>-4.3053298229325732</v>
      </c>
    </row>
    <row r="12" spans="1:9" ht="13.8" customHeight="1" x14ac:dyDescent="0.3"/>
    <row r="13" spans="1:9" ht="13.8" customHeight="1" x14ac:dyDescent="0.3"/>
    <row r="14" spans="1:9" ht="13.8" customHeight="1" x14ac:dyDescent="0.3"/>
    <row r="15" spans="1:9" ht="15.6" customHeight="1" x14ac:dyDescent="0.3"/>
    <row r="16" spans="1:9" ht="14.25" customHeight="1" x14ac:dyDescent="0.3"/>
    <row r="17" s="16" customFormat="1" ht="14.25" customHeight="1" x14ac:dyDescent="0.3"/>
    <row r="18" s="16" customFormat="1" ht="14.25" customHeight="1" x14ac:dyDescent="0.3"/>
    <row r="19" s="16" customFormat="1" ht="14.25" customHeight="1" x14ac:dyDescent="0.3"/>
    <row r="20" s="16" customFormat="1" ht="14.25" customHeight="1" x14ac:dyDescent="0.3"/>
    <row r="21" s="16" customFormat="1" ht="14.25" customHeight="1" x14ac:dyDescent="0.3"/>
    <row r="22" s="16" customFormat="1" ht="14.25" customHeight="1" x14ac:dyDescent="0.3"/>
    <row r="23" s="16" customFormat="1" ht="14.25" customHeight="1" x14ac:dyDescent="0.3"/>
    <row r="24" s="16" customFormat="1" ht="14.25" customHeight="1" x14ac:dyDescent="0.3"/>
    <row r="25" s="16" customFormat="1" ht="14.25" customHeight="1" x14ac:dyDescent="0.3"/>
    <row r="26" s="16" customFormat="1" ht="14.25" customHeight="1" x14ac:dyDescent="0.3"/>
    <row r="27" s="16" customFormat="1" ht="14.25" customHeight="1" x14ac:dyDescent="0.3"/>
    <row r="28" s="16" customFormat="1" ht="14.25" customHeight="1" x14ac:dyDescent="0.3"/>
    <row r="29" s="16" customFormat="1" ht="14.25" customHeight="1" x14ac:dyDescent="0.3"/>
    <row r="30" s="16" customFormat="1" ht="14.25" customHeight="1" x14ac:dyDescent="0.3"/>
    <row r="31" s="16" customFormat="1" ht="14.25" customHeight="1" x14ac:dyDescent="0.3"/>
    <row r="32" s="16" customFormat="1" ht="14.25" customHeight="1" x14ac:dyDescent="0.3"/>
    <row r="33" s="16" customFormat="1" ht="14.25" customHeight="1" x14ac:dyDescent="0.3"/>
    <row r="34" s="16" customFormat="1" ht="14.25" customHeight="1" x14ac:dyDescent="0.3"/>
    <row r="35" s="16" customFormat="1" ht="14.25" customHeight="1" x14ac:dyDescent="0.3"/>
    <row r="36" s="16" customFormat="1" ht="14.25" customHeight="1" x14ac:dyDescent="0.3"/>
    <row r="37" s="16" customFormat="1" ht="14.25" customHeight="1" x14ac:dyDescent="0.3"/>
    <row r="38" s="16" customFormat="1" ht="14.25" customHeight="1" x14ac:dyDescent="0.3"/>
    <row r="39" s="16" customFormat="1" ht="14.25" customHeight="1" x14ac:dyDescent="0.3"/>
    <row r="40" s="16" customFormat="1" ht="14.25" customHeight="1" x14ac:dyDescent="0.3"/>
    <row r="41" s="16" customFormat="1" ht="14.25" customHeight="1" x14ac:dyDescent="0.3"/>
    <row r="42" s="16" customFormat="1" ht="14.25" customHeight="1" x14ac:dyDescent="0.3"/>
    <row r="43" s="16" customFormat="1" ht="14.25" customHeight="1" x14ac:dyDescent="0.3"/>
    <row r="44" s="16" customFormat="1" ht="14.25" customHeight="1" x14ac:dyDescent="0.3"/>
    <row r="45" s="16" customFormat="1" ht="14.25" customHeight="1" x14ac:dyDescent="0.3"/>
    <row r="46" s="16" customFormat="1" ht="14.25" customHeight="1" x14ac:dyDescent="0.3"/>
    <row r="47" s="16" customFormat="1" ht="14.25" customHeight="1" x14ac:dyDescent="0.3"/>
    <row r="48" s="16" customFormat="1" ht="14.25" customHeight="1" x14ac:dyDescent="0.3"/>
    <row r="49" s="16" customFormat="1" ht="14.25" customHeight="1" x14ac:dyDescent="0.3"/>
    <row r="50" s="16" customFormat="1" ht="14.25" customHeight="1" x14ac:dyDescent="0.3"/>
    <row r="51" s="16" customFormat="1" ht="14.25" customHeight="1" x14ac:dyDescent="0.3"/>
    <row r="52" s="16" customFormat="1" ht="14.25" customHeight="1" x14ac:dyDescent="0.3"/>
    <row r="53" s="16" customFormat="1" ht="14.25" customHeight="1" x14ac:dyDescent="0.3"/>
    <row r="54" s="16" customFormat="1" ht="14.25" customHeight="1" x14ac:dyDescent="0.3"/>
    <row r="55" s="16" customFormat="1" ht="14.25" customHeight="1" x14ac:dyDescent="0.3"/>
    <row r="56" s="16" customFormat="1" ht="14.25" customHeight="1" x14ac:dyDescent="0.3"/>
    <row r="57" s="16" customFormat="1" ht="14.25" customHeight="1" x14ac:dyDescent="0.3"/>
    <row r="58" s="16" customFormat="1" ht="14.25" customHeight="1" x14ac:dyDescent="0.3"/>
    <row r="59" s="16" customFormat="1" ht="14.25" customHeight="1" x14ac:dyDescent="0.3"/>
    <row r="60" s="16" customFormat="1" ht="14.25" customHeight="1" x14ac:dyDescent="0.3"/>
    <row r="61" s="16" customFormat="1" ht="14.25" customHeight="1" x14ac:dyDescent="0.3"/>
    <row r="62" s="16" customFormat="1" ht="14.25" customHeight="1" x14ac:dyDescent="0.3"/>
    <row r="63" s="16" customFormat="1" ht="14.25" customHeight="1" x14ac:dyDescent="0.3"/>
    <row r="64" s="16" customFormat="1" ht="14.25" customHeight="1" x14ac:dyDescent="0.3"/>
    <row r="65" s="16" customFormat="1" ht="14.25" customHeight="1" x14ac:dyDescent="0.3"/>
    <row r="66" s="16" customFormat="1" ht="14.25" customHeight="1" x14ac:dyDescent="0.3"/>
    <row r="67" s="16" customFormat="1" ht="14.25" customHeight="1" x14ac:dyDescent="0.3"/>
    <row r="68" s="16" customFormat="1" ht="14.25" customHeight="1" x14ac:dyDescent="0.3"/>
    <row r="69" s="16" customFormat="1" ht="14.25" customHeight="1" x14ac:dyDescent="0.3"/>
    <row r="70" s="16" customFormat="1" ht="14.25" customHeight="1" x14ac:dyDescent="0.3"/>
    <row r="71" s="16" customFormat="1" ht="14.25" customHeight="1" x14ac:dyDescent="0.3"/>
    <row r="72" s="16" customFormat="1" ht="14.25" customHeight="1" x14ac:dyDescent="0.3"/>
    <row r="73" s="16" customFormat="1" ht="14.25" customHeight="1" x14ac:dyDescent="0.3"/>
    <row r="74" s="16" customFormat="1" ht="14.25" customHeight="1" x14ac:dyDescent="0.3"/>
    <row r="75" s="16" customFormat="1" ht="14.25" customHeight="1" x14ac:dyDescent="0.3"/>
    <row r="76" s="16" customFormat="1" ht="14.25" customHeight="1" x14ac:dyDescent="0.3"/>
    <row r="77" s="16" customFormat="1" ht="14.25" customHeight="1" x14ac:dyDescent="0.3"/>
    <row r="78" s="16" customFormat="1" ht="14.25" customHeight="1" x14ac:dyDescent="0.3"/>
    <row r="79" s="16" customFormat="1" ht="14.25" customHeight="1" x14ac:dyDescent="0.3"/>
    <row r="80" s="16" customFormat="1" ht="14.25" customHeight="1" x14ac:dyDescent="0.3"/>
    <row r="81" s="16" customFormat="1" ht="14.25" customHeight="1" x14ac:dyDescent="0.3"/>
    <row r="82" s="16" customFormat="1" ht="14.25" customHeight="1" x14ac:dyDescent="0.3"/>
    <row r="83" s="16" customFormat="1" ht="14.25" customHeight="1" x14ac:dyDescent="0.3"/>
    <row r="84" s="16" customFormat="1" ht="14.25" customHeight="1" x14ac:dyDescent="0.3"/>
    <row r="85" s="16" customFormat="1" ht="14.25" customHeight="1" x14ac:dyDescent="0.3"/>
    <row r="86" s="16" customFormat="1" ht="14.25" customHeight="1" x14ac:dyDescent="0.3"/>
    <row r="87" s="16" customFormat="1" ht="14.25" customHeight="1" x14ac:dyDescent="0.3"/>
    <row r="88" s="16" customFormat="1" ht="14.25" customHeight="1" x14ac:dyDescent="0.3"/>
    <row r="89" s="16" customFormat="1" ht="14.25" customHeight="1" x14ac:dyDescent="0.3"/>
    <row r="90" s="16" customFormat="1" ht="14.25" customHeight="1" x14ac:dyDescent="0.3"/>
    <row r="91" s="16" customFormat="1" ht="14.25" customHeight="1" x14ac:dyDescent="0.3"/>
    <row r="92" s="16" customFormat="1" ht="14.25" customHeight="1" x14ac:dyDescent="0.3"/>
    <row r="93" s="16" customFormat="1" ht="14.25" customHeight="1" x14ac:dyDescent="0.3"/>
    <row r="94" s="16" customFormat="1" ht="14.25" customHeight="1" x14ac:dyDescent="0.3"/>
    <row r="95" s="16" customFormat="1" ht="14.25" customHeight="1" x14ac:dyDescent="0.3"/>
    <row r="96" s="16" customFormat="1" ht="14.25" customHeight="1" x14ac:dyDescent="0.3"/>
    <row r="97" s="16" customFormat="1" ht="14.25" customHeight="1" x14ac:dyDescent="0.3"/>
    <row r="98" s="16" customFormat="1" ht="14.25" customHeight="1" x14ac:dyDescent="0.3"/>
    <row r="99" s="16" customFormat="1" ht="14.25" customHeight="1" x14ac:dyDescent="0.3"/>
    <row r="100" s="16" customFormat="1" ht="14.25" customHeight="1" x14ac:dyDescent="0.3"/>
  </sheetData>
  <mergeCells count="2">
    <mergeCell ref="A1:I1"/>
    <mergeCell ref="A3:B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4CD1-79E8-429A-8B3B-7B741D395051}">
  <dimension ref="A1:I100"/>
  <sheetViews>
    <sheetView workbookViewId="0">
      <selection activeCell="G7" sqref="G7"/>
    </sheetView>
  </sheetViews>
  <sheetFormatPr defaultColWidth="14.44140625" defaultRowHeight="14.4" x14ac:dyDescent="0.3"/>
  <cols>
    <col min="1" max="1" width="13.6640625" style="16" customWidth="1"/>
    <col min="2" max="11" width="8.6640625" style="16" customWidth="1"/>
    <col min="12" max="16384" width="14.44140625" style="16"/>
  </cols>
  <sheetData>
    <row r="1" spans="1:9" ht="14.25" customHeight="1" x14ac:dyDescent="0.5">
      <c r="A1" s="24" t="s">
        <v>194</v>
      </c>
      <c r="B1" s="25"/>
      <c r="C1" s="25"/>
      <c r="D1" s="25"/>
      <c r="E1" s="25"/>
      <c r="F1" s="25"/>
      <c r="G1" s="25"/>
      <c r="H1" s="25"/>
      <c r="I1" s="25"/>
    </row>
    <row r="2" spans="1:9" ht="14.25" customHeight="1" x14ac:dyDescent="0.3"/>
    <row r="3" spans="1:9" ht="14.25" customHeight="1" x14ac:dyDescent="0.4">
      <c r="A3" s="28" t="s">
        <v>172</v>
      </c>
      <c r="B3" s="25"/>
    </row>
    <row r="4" spans="1:9" ht="14.25" customHeight="1" x14ac:dyDescent="0.3">
      <c r="A4" s="29" t="s">
        <v>189</v>
      </c>
      <c r="B4" s="16">
        <v>20</v>
      </c>
    </row>
    <row r="5" spans="1:9" ht="14.25" customHeight="1" x14ac:dyDescent="0.3">
      <c r="A5" s="16" t="s">
        <v>78</v>
      </c>
      <c r="B5" s="16">
        <v>50</v>
      </c>
    </row>
    <row r="6" spans="1:9" ht="14.25" customHeight="1" x14ac:dyDescent="0.3">
      <c r="A6" s="29" t="s">
        <v>190</v>
      </c>
      <c r="B6" s="30">
        <v>0.05</v>
      </c>
    </row>
    <row r="7" spans="1:9" ht="14.25" customHeight="1" x14ac:dyDescent="0.3">
      <c r="A7" s="29" t="s">
        <v>94</v>
      </c>
      <c r="B7" s="30">
        <v>0.2</v>
      </c>
      <c r="D7" s="16" t="s">
        <v>177</v>
      </c>
      <c r="E7" s="16">
        <f>(LN(B8/$B$5)+($B$6+($B$7^2)/2)*($B$4/52))/($B$7*SQRT($B$4/52))</f>
        <v>5.4181351923835712E-2</v>
      </c>
    </row>
    <row r="8" spans="1:9" ht="14.25" customHeight="1" x14ac:dyDescent="0.3">
      <c r="A8" s="29" t="s">
        <v>80</v>
      </c>
      <c r="B8" s="16">
        <v>49</v>
      </c>
    </row>
    <row r="9" spans="1:9" ht="14.25" customHeight="1" x14ac:dyDescent="0.3"/>
    <row r="10" spans="1:9" ht="14.25" customHeight="1" x14ac:dyDescent="0.3"/>
    <row r="11" spans="1:9" ht="14.25" customHeight="1" x14ac:dyDescent="0.3">
      <c r="B11" s="16" t="s">
        <v>195</v>
      </c>
      <c r="C11" s="16">
        <f>_xlfn.NORM.S.DIST(E7,FALSE)/(B8*B7*SQRT(B4/52))</f>
        <v>6.5544039347844391E-2</v>
      </c>
    </row>
    <row r="12" spans="1:9" ht="14.25" customHeight="1" x14ac:dyDescent="0.3"/>
    <row r="13" spans="1:9" ht="14.25" customHeight="1" x14ac:dyDescent="0.3"/>
    <row r="14" spans="1:9" ht="14.25" customHeight="1" x14ac:dyDescent="0.3"/>
    <row r="15" spans="1:9" ht="14.25" customHeight="1" x14ac:dyDescent="0.3"/>
    <row r="16" spans="1:9" ht="14.25" customHeight="1" x14ac:dyDescent="0.3"/>
    <row r="17" s="16" customFormat="1" ht="14.25" customHeight="1" x14ac:dyDescent="0.3"/>
    <row r="18" s="16" customFormat="1" ht="14.25" customHeight="1" x14ac:dyDescent="0.3"/>
    <row r="19" s="16" customFormat="1" ht="14.25" customHeight="1" x14ac:dyDescent="0.3"/>
    <row r="20" s="16" customFormat="1" ht="14.25" customHeight="1" x14ac:dyDescent="0.3"/>
    <row r="21" s="16" customFormat="1" ht="14.25" customHeight="1" x14ac:dyDescent="0.3"/>
    <row r="22" s="16" customFormat="1" ht="14.25" customHeight="1" x14ac:dyDescent="0.3"/>
    <row r="23" s="16" customFormat="1" ht="14.25" customHeight="1" x14ac:dyDescent="0.3"/>
    <row r="24" s="16" customFormat="1" ht="14.25" customHeight="1" x14ac:dyDescent="0.3"/>
    <row r="25" s="16" customFormat="1" ht="14.25" customHeight="1" x14ac:dyDescent="0.3"/>
    <row r="26" s="16" customFormat="1" ht="14.25" customHeight="1" x14ac:dyDescent="0.3"/>
    <row r="27" s="16" customFormat="1" ht="14.25" customHeight="1" x14ac:dyDescent="0.3"/>
    <row r="28" s="16" customFormat="1" ht="14.25" customHeight="1" x14ac:dyDescent="0.3"/>
    <row r="29" s="16" customFormat="1" ht="14.25" customHeight="1" x14ac:dyDescent="0.3"/>
    <row r="30" s="16" customFormat="1" ht="14.25" customHeight="1" x14ac:dyDescent="0.3"/>
    <row r="31" s="16" customFormat="1" ht="14.25" customHeight="1" x14ac:dyDescent="0.3"/>
    <row r="32" s="16" customFormat="1" ht="14.25" customHeight="1" x14ac:dyDescent="0.3"/>
    <row r="33" s="16" customFormat="1" ht="14.25" customHeight="1" x14ac:dyDescent="0.3"/>
    <row r="34" s="16" customFormat="1" ht="14.25" customHeight="1" x14ac:dyDescent="0.3"/>
    <row r="35" s="16" customFormat="1" ht="14.25" customHeight="1" x14ac:dyDescent="0.3"/>
    <row r="36" s="16" customFormat="1" ht="14.25" customHeight="1" x14ac:dyDescent="0.3"/>
    <row r="37" s="16" customFormat="1" ht="14.25" customHeight="1" x14ac:dyDescent="0.3"/>
    <row r="38" s="16" customFormat="1" ht="14.25" customHeight="1" x14ac:dyDescent="0.3"/>
    <row r="39" s="16" customFormat="1" ht="14.25" customHeight="1" x14ac:dyDescent="0.3"/>
    <row r="40" s="16" customFormat="1" ht="14.25" customHeight="1" x14ac:dyDescent="0.3"/>
    <row r="41" s="16" customFormat="1" ht="14.25" customHeight="1" x14ac:dyDescent="0.3"/>
    <row r="42" s="16" customFormat="1" ht="14.25" customHeight="1" x14ac:dyDescent="0.3"/>
    <row r="43" s="16" customFormat="1" ht="14.25" customHeight="1" x14ac:dyDescent="0.3"/>
    <row r="44" s="16" customFormat="1" ht="14.25" customHeight="1" x14ac:dyDescent="0.3"/>
    <row r="45" s="16" customFormat="1" ht="14.25" customHeight="1" x14ac:dyDescent="0.3"/>
    <row r="46" s="16" customFormat="1" ht="14.25" customHeight="1" x14ac:dyDescent="0.3"/>
    <row r="47" s="16" customFormat="1" ht="14.25" customHeight="1" x14ac:dyDescent="0.3"/>
    <row r="48" s="16" customFormat="1" ht="14.25" customHeight="1" x14ac:dyDescent="0.3"/>
    <row r="49" s="16" customFormat="1" ht="14.25" customHeight="1" x14ac:dyDescent="0.3"/>
    <row r="50" s="16" customFormat="1" ht="14.25" customHeight="1" x14ac:dyDescent="0.3"/>
    <row r="51" s="16" customFormat="1" ht="14.25" customHeight="1" x14ac:dyDescent="0.3"/>
    <row r="52" s="16" customFormat="1" ht="14.25" customHeight="1" x14ac:dyDescent="0.3"/>
    <row r="53" s="16" customFormat="1" ht="14.25" customHeight="1" x14ac:dyDescent="0.3"/>
    <row r="54" s="16" customFormat="1" ht="14.25" customHeight="1" x14ac:dyDescent="0.3"/>
    <row r="55" s="16" customFormat="1" ht="14.25" customHeight="1" x14ac:dyDescent="0.3"/>
    <row r="56" s="16" customFormat="1" ht="14.25" customHeight="1" x14ac:dyDescent="0.3"/>
    <row r="57" s="16" customFormat="1" ht="14.25" customHeight="1" x14ac:dyDescent="0.3"/>
    <row r="58" s="16" customFormat="1" ht="14.25" customHeight="1" x14ac:dyDescent="0.3"/>
    <row r="59" s="16" customFormat="1" ht="14.25" customHeight="1" x14ac:dyDescent="0.3"/>
    <row r="60" s="16" customFormat="1" ht="14.25" customHeight="1" x14ac:dyDescent="0.3"/>
    <row r="61" s="16" customFormat="1" ht="14.25" customHeight="1" x14ac:dyDescent="0.3"/>
    <row r="62" s="16" customFormat="1" ht="14.25" customHeight="1" x14ac:dyDescent="0.3"/>
    <row r="63" s="16" customFormat="1" ht="14.25" customHeight="1" x14ac:dyDescent="0.3"/>
    <row r="64" s="16" customFormat="1" ht="14.25" customHeight="1" x14ac:dyDescent="0.3"/>
    <row r="65" s="16" customFormat="1" ht="14.25" customHeight="1" x14ac:dyDescent="0.3"/>
    <row r="66" s="16" customFormat="1" ht="14.25" customHeight="1" x14ac:dyDescent="0.3"/>
    <row r="67" s="16" customFormat="1" ht="14.25" customHeight="1" x14ac:dyDescent="0.3"/>
    <row r="68" s="16" customFormat="1" ht="14.25" customHeight="1" x14ac:dyDescent="0.3"/>
    <row r="69" s="16" customFormat="1" ht="14.25" customHeight="1" x14ac:dyDescent="0.3"/>
    <row r="70" s="16" customFormat="1" ht="14.25" customHeight="1" x14ac:dyDescent="0.3"/>
    <row r="71" s="16" customFormat="1" ht="14.25" customHeight="1" x14ac:dyDescent="0.3"/>
    <row r="72" s="16" customFormat="1" ht="14.25" customHeight="1" x14ac:dyDescent="0.3"/>
    <row r="73" s="16" customFormat="1" ht="14.25" customHeight="1" x14ac:dyDescent="0.3"/>
    <row r="74" s="16" customFormat="1" ht="14.25" customHeight="1" x14ac:dyDescent="0.3"/>
    <row r="75" s="16" customFormat="1" ht="14.25" customHeight="1" x14ac:dyDescent="0.3"/>
    <row r="76" s="16" customFormat="1" ht="14.25" customHeight="1" x14ac:dyDescent="0.3"/>
    <row r="77" s="16" customFormat="1" ht="14.25" customHeight="1" x14ac:dyDescent="0.3"/>
    <row r="78" s="16" customFormat="1" ht="14.25" customHeight="1" x14ac:dyDescent="0.3"/>
    <row r="79" s="16" customFormat="1" ht="14.25" customHeight="1" x14ac:dyDescent="0.3"/>
    <row r="80" s="16" customFormat="1" ht="14.25" customHeight="1" x14ac:dyDescent="0.3"/>
    <row r="81" s="16" customFormat="1" ht="14.25" customHeight="1" x14ac:dyDescent="0.3"/>
    <row r="82" s="16" customFormat="1" ht="14.25" customHeight="1" x14ac:dyDescent="0.3"/>
    <row r="83" s="16" customFormat="1" ht="14.25" customHeight="1" x14ac:dyDescent="0.3"/>
    <row r="84" s="16" customFormat="1" ht="14.25" customHeight="1" x14ac:dyDescent="0.3"/>
    <row r="85" s="16" customFormat="1" ht="14.25" customHeight="1" x14ac:dyDescent="0.3"/>
    <row r="86" s="16" customFormat="1" ht="14.25" customHeight="1" x14ac:dyDescent="0.3"/>
    <row r="87" s="16" customFormat="1" ht="14.25" customHeight="1" x14ac:dyDescent="0.3"/>
    <row r="88" s="16" customFormat="1" ht="14.25" customHeight="1" x14ac:dyDescent="0.3"/>
    <row r="89" s="16" customFormat="1" ht="14.25" customHeight="1" x14ac:dyDescent="0.3"/>
    <row r="90" s="16" customFormat="1" ht="14.25" customHeight="1" x14ac:dyDescent="0.3"/>
    <row r="91" s="16" customFormat="1" ht="14.25" customHeight="1" x14ac:dyDescent="0.3"/>
    <row r="92" s="16" customFormat="1" ht="14.25" customHeight="1" x14ac:dyDescent="0.3"/>
    <row r="93" s="16" customFormat="1" ht="14.25" customHeight="1" x14ac:dyDescent="0.3"/>
    <row r="94" s="16" customFormat="1" ht="14.25" customHeight="1" x14ac:dyDescent="0.3"/>
    <row r="95" s="16" customFormat="1" ht="14.25" customHeight="1" x14ac:dyDescent="0.3"/>
    <row r="96" s="16" customFormat="1" ht="14.25" customHeight="1" x14ac:dyDescent="0.3"/>
    <row r="97" s="16" customFormat="1" ht="14.25" customHeight="1" x14ac:dyDescent="0.3"/>
    <row r="98" s="16" customFormat="1" ht="14.25" customHeight="1" x14ac:dyDescent="0.3"/>
    <row r="99" s="16" customFormat="1" ht="14.25" customHeight="1" x14ac:dyDescent="0.3"/>
    <row r="100" s="16" customFormat="1" ht="14.25" customHeight="1" x14ac:dyDescent="0.3"/>
  </sheetData>
  <mergeCells count="2">
    <mergeCell ref="A1:I1"/>
    <mergeCell ref="A3:B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75AE-FD1E-4D17-A641-AC82551D6AFB}">
  <dimension ref="A1:I100"/>
  <sheetViews>
    <sheetView tabSelected="1" workbookViewId="0">
      <selection activeCell="I13" sqref="I13"/>
    </sheetView>
  </sheetViews>
  <sheetFormatPr defaultColWidth="14.44140625" defaultRowHeight="14.4" x14ac:dyDescent="0.3"/>
  <cols>
    <col min="1" max="1" width="14.33203125" style="16" customWidth="1"/>
    <col min="2" max="11" width="8.6640625" style="16" customWidth="1"/>
    <col min="12" max="16384" width="14.44140625" style="16"/>
  </cols>
  <sheetData>
    <row r="1" spans="1:9" ht="14.25" customHeight="1" x14ac:dyDescent="0.5">
      <c r="A1" s="24" t="s">
        <v>196</v>
      </c>
      <c r="B1" s="25"/>
      <c r="C1" s="25"/>
      <c r="D1" s="25"/>
      <c r="E1" s="25"/>
      <c r="F1" s="25"/>
      <c r="G1" s="25"/>
      <c r="H1" s="25"/>
      <c r="I1" s="25"/>
    </row>
    <row r="2" spans="1:9" ht="14.25" customHeight="1" x14ac:dyDescent="0.3"/>
    <row r="3" spans="1:9" ht="14.25" customHeight="1" x14ac:dyDescent="0.4">
      <c r="A3" s="28" t="s">
        <v>172</v>
      </c>
      <c r="B3" s="25"/>
    </row>
    <row r="4" spans="1:9" ht="14.25" customHeight="1" x14ac:dyDescent="0.3">
      <c r="A4" s="29" t="s">
        <v>189</v>
      </c>
      <c r="B4" s="16">
        <v>20</v>
      </c>
    </row>
    <row r="5" spans="1:9" ht="14.25" customHeight="1" x14ac:dyDescent="0.3">
      <c r="A5" s="16" t="s">
        <v>78</v>
      </c>
      <c r="B5" s="16">
        <v>50</v>
      </c>
    </row>
    <row r="6" spans="1:9" ht="14.25" customHeight="1" x14ac:dyDescent="0.3">
      <c r="A6" s="29" t="s">
        <v>190</v>
      </c>
      <c r="B6" s="30">
        <v>0.05</v>
      </c>
    </row>
    <row r="7" spans="1:9" ht="14.25" customHeight="1" x14ac:dyDescent="0.3">
      <c r="A7" s="29" t="s">
        <v>94</v>
      </c>
      <c r="B7" s="30">
        <v>0.2</v>
      </c>
      <c r="D7" s="16" t="s">
        <v>177</v>
      </c>
      <c r="E7" s="16">
        <f>(LN(B8/$B$5)+($B$6+($B$7^2)/2)*($B$4/52))/($B$7*SQRT($B$4/52))</f>
        <v>5.4181351923835712E-2</v>
      </c>
    </row>
    <row r="8" spans="1:9" ht="14.25" customHeight="1" x14ac:dyDescent="0.3">
      <c r="A8" s="29" t="s">
        <v>80</v>
      </c>
      <c r="B8" s="16">
        <v>49</v>
      </c>
    </row>
    <row r="9" spans="1:9" ht="14.25" customHeight="1" x14ac:dyDescent="0.3"/>
    <row r="10" spans="1:9" ht="14.25" customHeight="1" x14ac:dyDescent="0.3"/>
    <row r="11" spans="1:9" ht="14.25" customHeight="1" x14ac:dyDescent="0.3">
      <c r="B11" s="16" t="s">
        <v>196</v>
      </c>
      <c r="C11" s="16">
        <f>B8*SQRT(B4/52)*_xlfn.NORM.S.DIST(E7,FALSE)</f>
        <v>12.105479882628801</v>
      </c>
    </row>
    <row r="12" spans="1:9" ht="14.25" customHeight="1" x14ac:dyDescent="0.3"/>
    <row r="13" spans="1:9" ht="14.25" customHeight="1" x14ac:dyDescent="0.3"/>
    <row r="14" spans="1:9" ht="14.25" customHeight="1" x14ac:dyDescent="0.3"/>
    <row r="15" spans="1:9" ht="14.25" customHeight="1" x14ac:dyDescent="0.3"/>
    <row r="16" spans="1:9" ht="14.25" customHeight="1" x14ac:dyDescent="0.3"/>
    <row r="17" s="16" customFormat="1" ht="14.25" customHeight="1" x14ac:dyDescent="0.3"/>
    <row r="18" s="16" customFormat="1" ht="14.25" customHeight="1" x14ac:dyDescent="0.3"/>
    <row r="19" s="16" customFormat="1" ht="14.25" customHeight="1" x14ac:dyDescent="0.3"/>
    <row r="20" s="16" customFormat="1" ht="14.25" customHeight="1" x14ac:dyDescent="0.3"/>
    <row r="21" s="16" customFormat="1" ht="14.25" customHeight="1" x14ac:dyDescent="0.3"/>
    <row r="22" s="16" customFormat="1" ht="14.25" customHeight="1" x14ac:dyDescent="0.3"/>
    <row r="23" s="16" customFormat="1" ht="14.25" customHeight="1" x14ac:dyDescent="0.3"/>
    <row r="24" s="16" customFormat="1" ht="14.25" customHeight="1" x14ac:dyDescent="0.3"/>
    <row r="25" s="16" customFormat="1" ht="14.25" customHeight="1" x14ac:dyDescent="0.3"/>
    <row r="26" s="16" customFormat="1" ht="14.25" customHeight="1" x14ac:dyDescent="0.3"/>
    <row r="27" s="16" customFormat="1" ht="14.25" customHeight="1" x14ac:dyDescent="0.3"/>
    <row r="28" s="16" customFormat="1" ht="14.25" customHeight="1" x14ac:dyDescent="0.3"/>
    <row r="29" s="16" customFormat="1" ht="14.25" customHeight="1" x14ac:dyDescent="0.3"/>
    <row r="30" s="16" customFormat="1" ht="14.25" customHeight="1" x14ac:dyDescent="0.3"/>
    <row r="31" s="16" customFormat="1" ht="14.25" customHeight="1" x14ac:dyDescent="0.3"/>
    <row r="32" s="16" customFormat="1" ht="14.25" customHeight="1" x14ac:dyDescent="0.3"/>
    <row r="33" s="16" customFormat="1" ht="14.25" customHeight="1" x14ac:dyDescent="0.3"/>
    <row r="34" s="16" customFormat="1" ht="14.25" customHeight="1" x14ac:dyDescent="0.3"/>
    <row r="35" s="16" customFormat="1" ht="14.25" customHeight="1" x14ac:dyDescent="0.3"/>
    <row r="36" s="16" customFormat="1" ht="14.25" customHeight="1" x14ac:dyDescent="0.3"/>
    <row r="37" s="16" customFormat="1" ht="14.25" customHeight="1" x14ac:dyDescent="0.3"/>
    <row r="38" s="16" customFormat="1" ht="14.25" customHeight="1" x14ac:dyDescent="0.3"/>
    <row r="39" s="16" customFormat="1" ht="14.25" customHeight="1" x14ac:dyDescent="0.3"/>
    <row r="40" s="16" customFormat="1" ht="14.25" customHeight="1" x14ac:dyDescent="0.3"/>
    <row r="41" s="16" customFormat="1" ht="14.25" customHeight="1" x14ac:dyDescent="0.3"/>
    <row r="42" s="16" customFormat="1" ht="14.25" customHeight="1" x14ac:dyDescent="0.3"/>
    <row r="43" s="16" customFormat="1" ht="14.25" customHeight="1" x14ac:dyDescent="0.3"/>
    <row r="44" s="16" customFormat="1" ht="14.25" customHeight="1" x14ac:dyDescent="0.3"/>
    <row r="45" s="16" customFormat="1" ht="14.25" customHeight="1" x14ac:dyDescent="0.3"/>
    <row r="46" s="16" customFormat="1" ht="14.25" customHeight="1" x14ac:dyDescent="0.3"/>
    <row r="47" s="16" customFormat="1" ht="14.25" customHeight="1" x14ac:dyDescent="0.3"/>
    <row r="48" s="16" customFormat="1" ht="14.25" customHeight="1" x14ac:dyDescent="0.3"/>
    <row r="49" s="16" customFormat="1" ht="14.25" customHeight="1" x14ac:dyDescent="0.3"/>
    <row r="50" s="16" customFormat="1" ht="14.25" customHeight="1" x14ac:dyDescent="0.3"/>
    <row r="51" s="16" customFormat="1" ht="14.25" customHeight="1" x14ac:dyDescent="0.3"/>
    <row r="52" s="16" customFormat="1" ht="14.25" customHeight="1" x14ac:dyDescent="0.3"/>
    <row r="53" s="16" customFormat="1" ht="14.25" customHeight="1" x14ac:dyDescent="0.3"/>
    <row r="54" s="16" customFormat="1" ht="14.25" customHeight="1" x14ac:dyDescent="0.3"/>
    <row r="55" s="16" customFormat="1" ht="14.25" customHeight="1" x14ac:dyDescent="0.3"/>
    <row r="56" s="16" customFormat="1" ht="14.25" customHeight="1" x14ac:dyDescent="0.3"/>
    <row r="57" s="16" customFormat="1" ht="14.25" customHeight="1" x14ac:dyDescent="0.3"/>
    <row r="58" s="16" customFormat="1" ht="14.25" customHeight="1" x14ac:dyDescent="0.3"/>
    <row r="59" s="16" customFormat="1" ht="14.25" customHeight="1" x14ac:dyDescent="0.3"/>
    <row r="60" s="16" customFormat="1" ht="14.25" customHeight="1" x14ac:dyDescent="0.3"/>
    <row r="61" s="16" customFormat="1" ht="14.25" customHeight="1" x14ac:dyDescent="0.3"/>
    <row r="62" s="16" customFormat="1" ht="14.25" customHeight="1" x14ac:dyDescent="0.3"/>
    <row r="63" s="16" customFormat="1" ht="14.25" customHeight="1" x14ac:dyDescent="0.3"/>
    <row r="64" s="16" customFormat="1" ht="14.25" customHeight="1" x14ac:dyDescent="0.3"/>
    <row r="65" s="16" customFormat="1" ht="14.25" customHeight="1" x14ac:dyDescent="0.3"/>
    <row r="66" s="16" customFormat="1" ht="14.25" customHeight="1" x14ac:dyDescent="0.3"/>
    <row r="67" s="16" customFormat="1" ht="14.25" customHeight="1" x14ac:dyDescent="0.3"/>
    <row r="68" s="16" customFormat="1" ht="14.25" customHeight="1" x14ac:dyDescent="0.3"/>
    <row r="69" s="16" customFormat="1" ht="14.25" customHeight="1" x14ac:dyDescent="0.3"/>
    <row r="70" s="16" customFormat="1" ht="14.25" customHeight="1" x14ac:dyDescent="0.3"/>
    <row r="71" s="16" customFormat="1" ht="14.25" customHeight="1" x14ac:dyDescent="0.3"/>
    <row r="72" s="16" customFormat="1" ht="14.25" customHeight="1" x14ac:dyDescent="0.3"/>
    <row r="73" s="16" customFormat="1" ht="14.25" customHeight="1" x14ac:dyDescent="0.3"/>
    <row r="74" s="16" customFormat="1" ht="14.25" customHeight="1" x14ac:dyDescent="0.3"/>
    <row r="75" s="16" customFormat="1" ht="14.25" customHeight="1" x14ac:dyDescent="0.3"/>
    <row r="76" s="16" customFormat="1" ht="14.25" customHeight="1" x14ac:dyDescent="0.3"/>
    <row r="77" s="16" customFormat="1" ht="14.25" customHeight="1" x14ac:dyDescent="0.3"/>
    <row r="78" s="16" customFormat="1" ht="14.25" customHeight="1" x14ac:dyDescent="0.3"/>
    <row r="79" s="16" customFormat="1" ht="14.25" customHeight="1" x14ac:dyDescent="0.3"/>
    <row r="80" s="16" customFormat="1" ht="14.25" customHeight="1" x14ac:dyDescent="0.3"/>
    <row r="81" s="16" customFormat="1" ht="14.25" customHeight="1" x14ac:dyDescent="0.3"/>
    <row r="82" s="16" customFormat="1" ht="14.25" customHeight="1" x14ac:dyDescent="0.3"/>
    <row r="83" s="16" customFormat="1" ht="14.25" customHeight="1" x14ac:dyDescent="0.3"/>
    <row r="84" s="16" customFormat="1" ht="14.25" customHeight="1" x14ac:dyDescent="0.3"/>
    <row r="85" s="16" customFormat="1" ht="14.25" customHeight="1" x14ac:dyDescent="0.3"/>
    <row r="86" s="16" customFormat="1" ht="14.25" customHeight="1" x14ac:dyDescent="0.3"/>
    <row r="87" s="16" customFormat="1" ht="14.25" customHeight="1" x14ac:dyDescent="0.3"/>
    <row r="88" s="16" customFormat="1" ht="14.25" customHeight="1" x14ac:dyDescent="0.3"/>
    <row r="89" s="16" customFormat="1" ht="14.25" customHeight="1" x14ac:dyDescent="0.3"/>
    <row r="90" s="16" customFormat="1" ht="14.25" customHeight="1" x14ac:dyDescent="0.3"/>
    <row r="91" s="16" customFormat="1" ht="14.25" customHeight="1" x14ac:dyDescent="0.3"/>
    <row r="92" s="16" customFormat="1" ht="14.25" customHeight="1" x14ac:dyDescent="0.3"/>
    <row r="93" s="16" customFormat="1" ht="14.25" customHeight="1" x14ac:dyDescent="0.3"/>
    <row r="94" s="16" customFormat="1" ht="14.25" customHeight="1" x14ac:dyDescent="0.3"/>
    <row r="95" s="16" customFormat="1" ht="14.25" customHeight="1" x14ac:dyDescent="0.3"/>
    <row r="96" s="16" customFormat="1" ht="14.25" customHeight="1" x14ac:dyDescent="0.3"/>
    <row r="97" s="16" customFormat="1" ht="14.25" customHeight="1" x14ac:dyDescent="0.3"/>
    <row r="98" s="16" customFormat="1" ht="14.25" customHeight="1" x14ac:dyDescent="0.3"/>
    <row r="99" s="16" customFormat="1" ht="14.25" customHeight="1" x14ac:dyDescent="0.3"/>
    <row r="100" s="16" customFormat="1" ht="14.25" customHeight="1" x14ac:dyDescent="0.3"/>
  </sheetData>
  <mergeCells count="2">
    <mergeCell ref="A1:I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Practical Q1</vt:lpstr>
      <vt:lpstr>Practical Q2</vt:lpstr>
      <vt:lpstr>Practical 2</vt:lpstr>
      <vt:lpstr>Practical 3 Q1</vt:lpstr>
      <vt:lpstr>P3 Q2</vt:lpstr>
      <vt:lpstr>P3 Q3</vt:lpstr>
      <vt:lpstr>practical 4</vt:lpstr>
      <vt:lpstr>Practical 5</vt:lpstr>
      <vt:lpstr>practical 6 Q1</vt:lpstr>
      <vt:lpstr>P6 Q2</vt:lpstr>
      <vt:lpstr>P6 Q3</vt:lpstr>
      <vt:lpstr>Practical 7</vt:lpstr>
      <vt:lpstr>P8 Q1</vt:lpstr>
      <vt:lpstr>P8 Q2</vt:lpstr>
      <vt:lpstr>P 9</vt:lpstr>
      <vt:lpstr>P 10</vt:lpstr>
      <vt:lpstr>P 11</vt:lpstr>
      <vt:lpstr>P 12 Q1</vt:lpstr>
      <vt:lpstr>P 12 Q2</vt:lpstr>
      <vt:lpstr>P 12 Q3</vt:lpstr>
      <vt:lpstr>Sheet22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EXAMINATION</dc:creator>
  <cp:lastModifiedBy>Mridul Jindal</cp:lastModifiedBy>
  <dcterms:created xsi:type="dcterms:W3CDTF">2026-01-19T17:45:06Z</dcterms:created>
  <dcterms:modified xsi:type="dcterms:W3CDTF">2026-05-06T10:19:40Z</dcterms:modified>
</cp:coreProperties>
</file>